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224\Downloads\"/>
    </mc:Choice>
  </mc:AlternateContent>
  <xr:revisionPtr revIDLastSave="0" documentId="13_ncr:1_{FEF2E29B-DBB8-414D-89B9-A1EE2E033022}" xr6:coauthVersionLast="47" xr6:coauthVersionMax="47" xr10:uidLastSave="{00000000-0000-0000-0000-000000000000}"/>
  <bookViews>
    <workbookView xWindow="-120" yWindow="-120" windowWidth="29040" windowHeight="15720" firstSheet="1" activeTab="1"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<sst xmlns="http://schemas.openxmlformats.org/spreadsheetml/2006/main" count="463" uniqueCount="233">
  <si>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</si>
  <si>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</si>
  <si>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</si>
  <si>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</si>
  <si>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</si>
  <si>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</si>
  <si>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</si>
  <si>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</si>
  <si>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</si>
  <si>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</si>
  <si>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</si>
  <si>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</si>
  <si>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</si>
  <si>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</si>
  <si>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</si>
  <si>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</si>
  <si>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</si>
  <si>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</si>
  <si>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</si>
  <si>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</si>
  <si>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</si>
  <si>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</si>
  <si>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</si>
  <si>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</si>
  <si>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</si>
  <si>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</si>
  <si>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</si>
  <si>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</si>
  <si>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</si>
  <si>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</si>
  <si>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</si>
  <si>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</si>
  <si>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</si>
  <si>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</si>
  <si>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</si>
  <si>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</si>
  <si>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</si>
  <si>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</si>
  <si>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</si>
  <si>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</si>
  <si>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</si>
  <si>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</si>
  <si>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</si>
  <si>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</si>
  <si>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</si>
  <si>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</si>
  <si>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</si>
  <si>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</si>
  <si>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</si>
  <si>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</si>
  <si>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</si>
  <si>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</si>
  <si>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</si>
  <si>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</si>
  <si>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</si>
  <si>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</si>
  <si>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</si>
  <si>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</si>
  <si>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</si>
  <si>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</si>
  <si>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</si>
  <si>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</si>
  <si>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</si>
  <si>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</si>
  <si>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</si>
  <si>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</si>
  <si>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</si>
  <si>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</si>
  <si>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</si>
  <si>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</si>
  <si>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</si>
  <si>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</si>
  <si>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</si>
  <si>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</si>
  <si>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</si>
  <si>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</si>
  <si>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</si>
  <si>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</si>
  <si>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</si>
  <si>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</si>
  <si>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</si>
  <si>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</si>
  <si>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</si>
  <si>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</si>
  <si>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</si>
  <si>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</si>
  <si>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</si>
  <si>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</si>
  <si>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</si>
  <si>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</si>
  <si>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</si>
  <si>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</si>
  <si>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</si>
  <si>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</si>
  <si>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</si>
  <si>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</si>
  <si>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</si>
  <si>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</si>
  <si>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</si>
  <si>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</si>
  <si>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</si>
  <si>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</si>
  <si>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</si>
  <si>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</si>
  <si>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</si>
  <si>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</si>
  <si>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</si>
  <si>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</si>
  <si>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</si>
  <si>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</si>
  <si>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</si>
  <si>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</si>
  <si>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</si>
  <si>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</si>
  <si>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</si>
  <si>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</si>
  <si>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</si>
  <si>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</si>
  <si>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</si>
  <si>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</si>
  <si>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</si>
  <si>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</si>
  <si>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</si>
  <si>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</si>
  <si>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</si>
  <si>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</si>
  <si>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</si>
  <si>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</si>
  <si>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</si>
  <si>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</si>
  <si>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</si>
  <si>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</si>
  <si>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</si>
  <si>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</si>
  <si>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</si>
  <si>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</si>
  <si>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</si>
  <si>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</si>
  <si>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</si>
  <si>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</si>
  <si>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</si>
  <si>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</si>
  <si>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</si>
  <si>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</si>
  <si>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</si>
  <si>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</si>
  <si>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</si>
  <si>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</si>
  <si>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</si>
  <si>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</si>
  <si>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</si>
  <si>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</si>
  <si>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J</t>
  </si>
  <si>
    <t>Easy Rentals Student Accommdation</t>
  </si>
  <si>
    <t>Sthembiso Thabethe</t>
  </si>
  <si>
    <t>https://github.com/Theo-debugg/Easy-Rentals-Accommodation-management-system-.git</t>
  </si>
  <si>
    <t>https://www.figma.com/design/f1h48hYRyC20CkUCM3jJfT/Untitled?node-id=1-2&amp;t=eG3l927EvEUnjZaK-1</t>
  </si>
  <si>
    <t>https://www.figma.com/design/4QkvwEdkyLsApZxUQzr2T2/Untitled?node-id=0-1&amp;t=zz3fHoyhFXS0Nb5u-1</t>
  </si>
  <si>
    <t>https://lucid.app/lucidchart/76039561-d095-45b5-856f-46c3432533c2/edit?viewport_loc=-491%2C-468%2C2933%2C1542%2C0_0&amp;invitationId=inv_123df1f3-67c9-4362-b0fd-3d8b4863f2c5</t>
  </si>
  <si>
    <t>https://lucid.app/lucidchart/8de32e4d-911c-431b-a35b-127f77eed3db/edit?invitationId=inv_8a53e061-7771-4c2f-b72c-a4b1d28faedc&amp;page=0_0</t>
  </si>
  <si>
    <t>https://lucid.app/lucidchart/2b063380-1ef2-478a-aeb2-bfa37c88595b/edit?viewport_loc=-951%2C-915%2C2637%2C1818%2C0_0&amp;invitationId=inv_a872a4e7-3bd8-474d-a1f9-dabc69af82b7</t>
  </si>
  <si>
    <t>https://lucid.app/lucidchart/d8c7306c-da9c-4b2e-a34d-2d6b52defdb1/edit?viewport_loc=-556%2C-62%2C3248%2C1618%2C0_0&amp;invitationId=inv_118af968-481f-4907-9049-6fcb8e7fdecd</t>
  </si>
  <si>
    <t>https://lucid.app/lucidchart/42326f7e-e6e0-44f5-96fe-e8685c29f9b8/edit?viewport_loc=-3198%2C-4201%2C7949%2C3960%2C0_0&amp;invitationId=inv_bc6f1276-4c17-4035-a3e4-372034c6bb37</t>
  </si>
  <si>
    <t>Everyone</t>
  </si>
  <si>
    <t>Toka Malachamela, Tshiamo Goitsemodimo</t>
  </si>
  <si>
    <t>Tshiamo Goitsemodimo, Onalenna Shea, Tshepang Mahase, Palesa Lesekele</t>
  </si>
  <si>
    <t>Thierry Sithole, Sthembiso Thabethe, Toka Malachamela, Thapelo Magwai</t>
  </si>
  <si>
    <t>Tshiamo Goitsemodimo, Onalenna Shea, Tshepang Mahase, Palesa Lesekele, Thierry Sithole, Sthembiso Thabethe, Toka Malachamela, Thapelo Magwai</t>
  </si>
  <si>
    <t>Onalenna Shea</t>
  </si>
  <si>
    <t>Thierry Sithole</t>
  </si>
  <si>
    <t xml:space="preserve"> 9/17/26</t>
  </si>
  <si>
    <t>Easy Rentals</t>
  </si>
  <si>
    <t>Phase 2</t>
  </si>
  <si>
    <t>Yes</t>
  </si>
  <si>
    <t>Lucid Software</t>
  </si>
  <si>
    <t>Figma</t>
  </si>
  <si>
    <t>Tshiamo Goitsemodimo, Onalenna Shea, Tshepang Mahase, Palesa Lesekele,Thierry Sithole, Sthembiso Thabethe, Toka Malachamela, Thapelo Magwai</t>
  </si>
  <si>
    <t xml:space="preserve">https://www.figma.com/proto/f1h48hYRyC20CkUCM3jJfT/Flutter-mobile-app?node-id=1-3&amp;starting-point-node-id=1%3A3&amp;t=NsZvGtre3OLMIQpY-1                 </t>
  </si>
  <si>
    <t>Figma(flutter)</t>
  </si>
  <si>
    <t>Figma(asp.net)</t>
  </si>
  <si>
    <t>https://www.figma.com/proto/f1h48hYRyC20CkUCM3jJfT/Flutter-mobile-app?node-id=1-3&amp;starting-point-node-id=1%3A3&amp;t=NsZvGtre3OLMIQpY-1  https://www.figma.com/proto/4QkvwEdkyLsApZxUQzr2T2/ASP.NET-WIREFRAMES?node-id=8-20&amp;starting-point-node-id=6%3A31&amp;t=RaruzWRoQjQAslUZ-1</t>
  </si>
  <si>
    <t>System Architecture, Use case diagram, Sequence diagrams, ERD, Wireframes, Navigation flow, updating github repository, update SRS document, updating Gantt Chart</t>
  </si>
  <si>
    <t>ERD, Sequence diagram, Use case diagram</t>
  </si>
  <si>
    <t>We designed both applications around one shared Supabase database instead of separate data stores. The sequence diagrams show that a viewing request created in Flutter is stored in Supabase and then retrieved and approved through ASP.NET, and the student sees the updated status back in Flutter. We then checked every screen against the ERD, so each piece of information captured in one app could be stored and read by the other. Where it couldn't, we fixed it, for example by adding Room_ID to Viewing Request.</t>
  </si>
  <si>
    <t>Since the phase consisted of one unit. The activities were then distributed among members to share the workload and allow different tasks to progress simultaneously. We then reviewed, and rectified the mistakes as a group. Participation was balanced as each group member did their part as the work was evenly ditributed.</t>
  </si>
  <si>
    <t>We learned that each design must be checked against the others, not just completed on its own. Designing the screens exposed gaps the diagrams had missed, such as a Cancel Appointment use case with no cancel button, a student with no way to log out, and a room-management use case with no delete option. We also learned to use «include», «extend» and alt boxes only where they reflect real behaviour in our system, and to keep terms the same across every artefact.</t>
  </si>
  <si>
    <t>We will agree on one set of names for screens, tables and statuses before writing any code, and set up the Supabase tables from the final ERD first so both applications build on the same structure. We will test the Flutter-to-ASP.NET connection early, for example by submitting a request in Flutter and confirming it appears in ASP.NET, rather than waiting until the end.We will also commit work to GitHub regularly with clear messages, record changes in a change log, and check in with the stakeholder more often so feedback reaches us before development is finished.</t>
  </si>
  <si>
    <t>09/14/2026 - 10/12/2026</t>
  </si>
  <si>
    <t>Nothing remain incomplete</t>
  </si>
  <si>
    <t>N/A</t>
  </si>
  <si>
    <t>Our joint review sessions, which found and fixed gaps between the screens, ERD and use cases.</t>
  </si>
  <si>
    <t>There were no participation concerns</t>
  </si>
  <si>
    <t>Agree on names before coding, test integration early, and commit to GitHub regularly.</t>
  </si>
  <si>
    <t>Build the Supabase database and prioritize commiting to github.</t>
  </si>
  <si>
    <t>Constructing the ERD Diagram</t>
  </si>
  <si>
    <t xml:space="preserve">Went through previous learning material and provided Youtube videos to get an understanding of the work required </t>
  </si>
  <si>
    <t>Tshiamo Goitsemodimo, Toka Malachamela</t>
  </si>
  <si>
    <t>Always go through previous learning material to refresh ourselves</t>
  </si>
  <si>
    <t>Delayed progress by a day</t>
  </si>
  <si>
    <t>Meeting time with the stakeholder</t>
  </si>
  <si>
    <t>Delayed the Progress of Phase 2</t>
  </si>
  <si>
    <t>Migrated to whatsapp messages</t>
  </si>
  <si>
    <t>Microsoft Teams meeting setup</t>
  </si>
  <si>
    <t>Asked another group member to setup the meeting</t>
  </si>
  <si>
    <t>Setup the meeting link on time, to avoid any delays</t>
  </si>
  <si>
    <t>Present any requests to the stakeholder on time.</t>
  </si>
  <si>
    <t>Consulted different lectures to get a clear picture of what we should do</t>
  </si>
  <si>
    <t>Constructing the UML Use Case Diagram</t>
  </si>
  <si>
    <t>Toka Malachamela, Onalenna Shea, Sthembiso Thabethe</t>
  </si>
  <si>
    <t>Onalenna Shea, Sthembiso Thabethe</t>
  </si>
  <si>
    <t>Created Uncertainty when it comes to Wireframes</t>
  </si>
  <si>
    <t xml:space="preserve">Extend the functionality on some use cases. </t>
  </si>
  <si>
    <t>Tshepang Mahase</t>
  </si>
  <si>
    <t>Thapelo Magwai</t>
  </si>
  <si>
    <t>Toka Malachamela</t>
  </si>
  <si>
    <t>Tshiamo Goitsemodimo</t>
  </si>
  <si>
    <t>Palesa Lesekele</t>
  </si>
  <si>
    <t>Design System Architecture</t>
  </si>
  <si>
    <t>Gantt Chart</t>
  </si>
  <si>
    <t>Edited the SRS Document</t>
  </si>
  <si>
    <t>Updated the Github Repository</t>
  </si>
  <si>
    <t>ERD Diagram</t>
  </si>
  <si>
    <t>Sequence Diagram</t>
  </si>
  <si>
    <t>5 min</t>
  </si>
  <si>
    <t>All</t>
  </si>
  <si>
    <t>Wireframes</t>
  </si>
  <si>
    <t>7 hours</t>
  </si>
  <si>
    <t>9 hours</t>
  </si>
  <si>
    <t>12 hours</t>
  </si>
  <si>
    <t>6 hours</t>
  </si>
  <si>
    <t>1 hours</t>
  </si>
  <si>
    <t>30 min</t>
  </si>
  <si>
    <t>48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</si>
</sst>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5"/>
      <color rgb="FFFFFFFF"/>
      <name val="Carlito"/>
    </font>
    <font>
      <b/>
      <sz val="11"/>
      <color rgb="FFFFFFFF"/>
      <name val="Carlito"/>
    </font>
    <font>
      <b/>
      <sz val="11"/>
      <name val="Carlito"/>
    </font>
    <font>
      <u/>
      <sz val="11"/>
      <color theme="10"/>
      <name val="Carlito"/>
    </font>
    <font>
      <sz val="8"/>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3" fillId="4" borderId="0" xfId="0" applyNumberFormat="1" applyFont="1" applyFill="1" applyBorder="1"/>
    <xf numFmtId="0" fontId="3" fillId="4" borderId="0" xfId="0" applyNumberFormat="1" applyFont="1" applyFill="1" applyBorder="1" applyAlignment="1">
      <alignment wrapText="1"/>
    </xf>
    <xf numFmtId="0" fontId="0" fillId="5" borderId="0" xfId="0" applyNumberFormat="1" applyFont="1" applyFill="1" applyBorder="1" applyAlignment="1">
      <alignment vertical="top" wrapText="1"/>
    </xf>
    <xf numFmtId="0" fontId="3" fillId="6" borderId="0" xfId="0" applyNumberFormat="1" applyFont="1" applyFill="1" applyBorder="1" applyAlignment="1">
      <alignment horizontal="center"/>
    </xf>
    <xf numFmtId="9" fontId="3" fillId="6" borderId="0" xfId="0" applyNumberFormat="1" applyFont="1" applyFill="1" applyBorder="1" applyAlignment="1">
      <alignment horizontal="center"/>
    </xf>
    <xf numFmtId="9" fontId="0" fillId="5"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0" fontId="1" fillId="2" borderId="0" xfId="0" applyNumberFormat="1" applyFont="1" applyFill="1" applyBorder="1" applyAlignment="1">
      <alignment horizontal="center" vertical="center"/>
    </xf>
    <xf numFmtId="0" fontId="0" fillId="3" borderId="0" xfId="0" applyNumberFormat="1" applyFont="1" applyFill="1" applyBorder="1" applyAlignment="1">
      <alignment wrapText="1"/>
    </xf>
    <xf numFmtId="0" fontId="2" fillId="2" borderId="0" xfId="0" applyNumberFormat="1" applyFont="1" applyFill="1" applyBorder="1"/>
    <xf numFmtId="0" fontId="0" fillId="3" borderId="0" xfId="0" applyNumberFormat="1" applyFont="1" applyFill="1" applyBorder="1" applyAlignment="1">
      <alignment vertical="top" wrapText="1"/>
    </xf>
    <xf numFmtId="0" fontId="2" fillId="2" borderId="0" xfId="0" applyNumberFormat="1" applyFont="1" applyFill="1" applyBorder="1" applyAlignment="1">
      <alignment horizontal="center"/>
    </xf>
    <xf numFmtId="0" fontId="0" fillId="5" borderId="0" xfId="0" applyNumberFormat="1" applyFont="1" applyFill="1" applyBorder="1" applyAlignment="1">
      <alignment vertical="top" wrapText="1"/>
    </xf>
    <xf numFmtId="0" fontId="3" fillId="4" borderId="0" xfId="0" applyNumberFormat="1" applyFont="1" applyFill="1" applyBorder="1" applyAlignment="1">
      <alignment wrapText="1"/>
    </xf>
    <xf numFmtId="0" fontId="3" fillId="5"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0" fontId="4" fillId="5" borderId="0" xfId="1" applyNumberFormat="1" applyFill="1" applyBorder="1" applyAlignment="1">
      <alignment vertical="top" wrapText="1"/>
    </xf>
    <xf numFmtId="14" fontId="0" fillId="5" borderId="0" xfId="0" applyNumberFormat="1" applyFont="1" applyFill="1" applyBorder="1" applyAlignment="1">
      <alignment vertical="top" wrapText="1"/>
    </xf>
  </cellXfs>
  <cellStyles count="2">
    <cellStyle name="Hyperlink" xfId="1" builtinId="8"/>
    <cellStyle name="Normal" xfId="0" builtinId="0"/>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lucid.app/lucidchart/42326f7e-e6e0-44f5-96fe-e8685c29f9b8/edit?viewport_loc=-3198%2C-4201%2C7949%2C3960%2C0_0&amp;invitationId=inv_bc6f1276-4c17-4035-a3e4-372034c6bb37" TargetMode="External"/><Relationship Id="rId3" Type="http://schemas.openxmlformats.org/officeDocument/2006/relationships/hyperlink" Target="https://www.figma.com/design/f1h48hYRyC20CkUCM3jJfT/Untitled?node-id=1-2&amp;t=eG3l927EvEUnjZaK-1" TargetMode="External"/><Relationship Id="rId7" Type="http://schemas.openxmlformats.org/officeDocument/2006/relationships/hyperlink" Target="https://lucid.app/lucidchart/d8c7306c-da9c-4b2e-a34d-2d6b52defdb1/edit?viewport_loc=-556%2C-62%2C3248%2C1618%2C0_0&amp;invitationId=inv_118af968-481f-4907-9049-6fcb8e7fdecd" TargetMode="External"/><Relationship Id="rId2" Type="http://schemas.openxmlformats.org/officeDocument/2006/relationships/hyperlink" Target="https://www.figma.com/design/4QkvwEdkyLsApZxUQzr2T2/Untitled?node-id=0-1&amp;t=zz3fHoyhFXS0Nb5u-1" TargetMode="External"/><Relationship Id="rId1" Type="http://schemas.openxmlformats.org/officeDocument/2006/relationships/hyperlink" Target="https://github.com/Theo-debugg/Easy-Rentals-Accommodation-management-system-.git" TargetMode="External"/><Relationship Id="rId6" Type="http://schemas.openxmlformats.org/officeDocument/2006/relationships/hyperlink" Target="https://lucid.app/lucidchart/2b063380-1ef2-478a-aeb2-bfa37c88595b/edit?viewport_loc=-951%2C-915%2C2637%2C1818%2C0_0&amp;invitationId=inv_a872a4e7-3bd8-474d-a1f9-dabc69af82b7" TargetMode="External"/><Relationship Id="rId5" Type="http://schemas.openxmlformats.org/officeDocument/2006/relationships/hyperlink" Target="https://lucid.app/lucidchart/8de32e4d-911c-431b-a35b-127f77eed3db/edit?invitationId=inv_8a53e061-7771-4c2f-b72c-a4b1d28faedc&amp;page=0_0" TargetMode="External"/><Relationship Id="rId4" Type="http://schemas.openxmlformats.org/officeDocument/2006/relationships/hyperlink" Target="https://lucid.app/lucidchart/76039561-d095-45b5-856f-46c3432533c2/edit?viewport_loc=-491%2C-468%2C2933%2C1542%2C0_0&amp;invitationId=inv_123df1f3-67c9-4362-b0fd-3d8b4863f2c5"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lucid.app/lucidchart/76039561-d095-45b5-856f-46c3432533c2/edit?viewport_loc=-491%2C-468%2C2933%2C1542%2C0_0&amp;invitationId=inv_123df1f3-67c9-4362-b0fd-3d8b4863f2c5" TargetMode="External"/><Relationship Id="rId7" Type="http://schemas.openxmlformats.org/officeDocument/2006/relationships/hyperlink" Target="https://www.figma.com/design/f1h48hYRyC20CkUCM3jJfT/Untitled?node-id=1-2&amp;t=eG3l927EvEUnjZaK-1" TargetMode="External"/><Relationship Id="rId2" Type="http://schemas.openxmlformats.org/officeDocument/2006/relationships/hyperlink" Target="https://lucid.app/lucidchart/2b063380-1ef2-478a-aeb2-bfa37c88595b/edit?viewport_loc=-951%2C-915%2C2637%2C1818%2C0_0&amp;invitationId=inv_a872a4e7-3bd8-474d-a1f9-dabc69af82b7" TargetMode="External"/><Relationship Id="rId1" Type="http://schemas.openxmlformats.org/officeDocument/2006/relationships/hyperlink" Target="https://lucid.app/lucidchart/d8c7306c-da9c-4b2e-a34d-2d6b52defdb1/edit?viewport_loc=-556%2C-62%2C3248%2C1618%2C0_0&amp;invitationId=inv_118af968-481f-4907-9049-6fcb8e7fdecd" TargetMode="External"/><Relationship Id="rId6" Type="http://schemas.openxmlformats.org/officeDocument/2006/relationships/hyperlink" Target="https://github.com/Theo-debugg/Easy-Rentals-Accommodation-management-system-.git" TargetMode="External"/><Relationship Id="rId5" Type="http://schemas.openxmlformats.org/officeDocument/2006/relationships/hyperlink" Target="https://lucid.app/lucidchart/8de32e4d-911c-431b-a35b-127f77eed3db/edit?invitationId=inv_8a53e061-7771-4c2f-b72c-a4b1d28faedc&amp;page=0_0" TargetMode="External"/><Relationship Id="rId4" Type="http://schemas.openxmlformats.org/officeDocument/2006/relationships/hyperlink" Target="https://lucid.app/lucidchart/76039561-d095-45b5-856f-46c3432533c2/edit?viewport_loc=-491%2C-468%2C2933%2C1542%2C0_0&amp;invitationId=inv_123df1f3-67c9-4362-b0fd-3d8b4863f2c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gma.com/proto/4QkvwEdkyLsApZxUQzr2T2/ASP.NET-WIREFRAMES?node-id=8-20&amp;starting-point-node-id=6%3A31&amp;t=RaruzWRoQjQAslUZ-1" TargetMode="External"/><Relationship Id="rId3" Type="http://schemas.openxmlformats.org/officeDocument/2006/relationships/hyperlink" Target="https://lucid.app/lucidchart/42326f7e-e6e0-44f5-96fe-e8685c29f9b8/edit?viewport_loc=-3198%2C-4201%2C7949%2C3960%2C0_0&amp;invitationId=inv_bc6f1276-4c17-4035-a3e4-372034c6bb37" TargetMode="External"/><Relationship Id="rId7" Type="http://schemas.openxmlformats.org/officeDocument/2006/relationships/hyperlink" Target="https://www.figma.com/proto/f1h48hYRyC20CkUCM3jJfT/Flutter-mobile-app?node-id=1-3&amp;starting-point-node-id=1%3A3&amp;t=NsZvGtre3OLMIQpY-1" TargetMode="External"/><Relationship Id="rId2" Type="http://schemas.openxmlformats.org/officeDocument/2006/relationships/hyperlink" Target="https://lucid.app/lucidchart/8de32e4d-911c-431b-a35b-127f77eed3db/edit?invitationId=inv_8a53e061-7771-4c2f-b72c-a4b1d28faedc&amp;page=0_0" TargetMode="External"/><Relationship Id="rId1" Type="http://schemas.openxmlformats.org/officeDocument/2006/relationships/hyperlink" Target="https://lucid.app/lucidchart/d8c7306c-da9c-4b2e-a34d-2d6b52defdb1/edit?viewport_loc=-556%2C-62%2C3248%2C1618%2C0_0&amp;invitationId=inv_118af968-481f-4907-9049-6fcb8e7fdecd" TargetMode="External"/><Relationship Id="rId6" Type="http://schemas.openxmlformats.org/officeDocument/2006/relationships/hyperlink" Target="https://www.figma.com/design/4QkvwEdkyLsApZxUQzr2T2/Untitled?node-id=0-1&amp;t=zz3fHoyhFXS0Nb5u-1" TargetMode="External"/><Relationship Id="rId5" Type="http://schemas.openxmlformats.org/officeDocument/2006/relationships/hyperlink" Target="https://www.figma.com/design/f1h48hYRyC20CkUCM3jJfT/Untitled?node-id=1-2&amp;t=eG3l927EvEUnjZaK-1" TargetMode="External"/><Relationship Id="rId4" Type="http://schemas.openxmlformats.org/officeDocument/2006/relationships/hyperlink" Target="https://lucid.app/lucidchart/76039561-d095-45b5-856f-46c3432533c2/edit?viewport_loc=-491%2C-468%2C2933%2C1542%2C0_0&amp;invitationId=inv_123df1f3-67c9-4362-b0fd-3d8b4863f2c5" TargetMode="External"/><Relationship Id="rId9" Type="http://schemas.openxmlformats.org/officeDocument/2006/relationships/hyperlink" Target="https://lucid.app/lucidchart/2b063380-1ef2-478a-aeb2-bfa37c88595b/edit?viewport_loc=-951%2C-915%2C2637%2C1818%2C0_0&amp;invitationId=inv_a872a4e7-3bd8-474d-a1f9-dabc69af82b7"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workbookViewId="0">
      <selection sqref="A1:F1"/>
    </sheetView>
  </sheetViews>
  <sheetFormatPr defaultRowHeight="14.25"/>
  <cols>
    <col min="1" max="1" width="25" customWidth="1"/>
    <col min="2" max="2" width="38" customWidth="1"/>
    <col min="3" max="3" width="52" customWidth="1"/>
    <col min="4" max="6" width="14" customWidth="1"/>
  </cols>
  <sheetData>
    <row r="1" spans="1:6" ht="33.950000000000003" customHeight="1">
      <c r="A1" s="10" t="s">
        <v>0</v>
      </c>
      <c r="B1" s="10"/>
      <c r="C1" s="10"/>
      <c r="D1" s="10"/>
      <c r="E1" s="10"/>
      <c r="F1" s="10"/>
    </row>
    <row r="2" spans="1:6" ht="33.950000000000003" customHeight="1">
      <c r="A2" s="11" t="s">
        <v>1</v>
      </c>
      <c r="B2" s="11"/>
      <c r="C2" s="11"/>
      <c r="D2" s="11"/>
      <c r="E2" s="11"/>
      <c r="F2" s="11"/>
    </row>
    <row r="4" spans="1:6" ht="30" customHeight="1">
      <c r="A4" s="1" t="s">
        <v>2</v>
      </c>
      <c r="B4" s="1" t="s">
        <v>3</v>
      </c>
      <c r="C4" s="1" t="s">
        <v>4</v>
      </c>
    </row>
    <row r="5" spans="1:6" ht="39.950000000000003" customHeight="1">
      <c r="A5" s="2" t="s">
        <v>5</v>
      </c>
      <c r="B5" s="2" t="s">
        <v>6</v>
      </c>
      <c r="C5" s="2" t="s">
        <v>7</v>
      </c>
    </row>
    <row r="6" spans="1:6" ht="39.950000000000003" customHeight="1">
      <c r="A6" s="2" t="s">
        <v>8</v>
      </c>
      <c r="B6" s="2" t="s">
        <v>9</v>
      </c>
      <c r="C6" s="2" t="s">
        <v>10</v>
      </c>
    </row>
    <row r="7" spans="1:6" ht="39.950000000000003" customHeight="1">
      <c r="A7" s="2" t="s">
        <v>11</v>
      </c>
      <c r="B7" s="2" t="s">
        <v>12</v>
      </c>
      <c r="C7" s="2" t="s">
        <v>13</v>
      </c>
    </row>
    <row r="8" spans="1:6" ht="39.950000000000003" customHeight="1">
      <c r="A8" s="2" t="s">
        <v>14</v>
      </c>
      <c r="B8" s="2" t="s">
        <v>15</v>
      </c>
      <c r="C8" s="2" t="s">
        <v>16</v>
      </c>
    </row>
    <row r="9" spans="1:6" ht="39.950000000000003" customHeight="1">
      <c r="A9" s="2" t="s">
        <v>17</v>
      </c>
      <c r="B9" s="2" t="s">
        <v>18</v>
      </c>
      <c r="C9" s="2" t="s">
        <v>19</v>
      </c>
    </row>
    <row r="10" spans="1:6" ht="39.950000000000003" customHeight="1">
      <c r="A10" s="2" t="s">
        <v>20</v>
      </c>
      <c r="B10" s="2" t="s">
        <v>21</v>
      </c>
      <c r="C10" s="2" t="s">
        <v>22</v>
      </c>
    </row>
    <row r="11" spans="1:6" ht="39.950000000000003" customHeight="1">
      <c r="A11" s="2" t="s">
        <v>23</v>
      </c>
      <c r="B11" s="2" t="s">
        <v>24</v>
      </c>
      <c r="C11" s="2" t="s">
        <v>25</v>
      </c>
    </row>
    <row r="13" spans="1:6" ht="15">
      <c r="A13" s="12" t="s">
        <v>26</v>
      </c>
      <c r="B13" s="12"/>
      <c r="C13" s="12"/>
      <c r="D13" s="12"/>
      <c r="E13" s="12"/>
      <c r="F13" s="12"/>
    </row>
    <row r="14" spans="1:6">
      <c r="A14" s="13" t="s">
        <v>27</v>
      </c>
      <c r="B14" s="13"/>
      <c r="C14" s="13"/>
      <c r="D14" s="13"/>
      <c r="E14" s="13"/>
      <c r="F14" s="13"/>
    </row>
    <row r="15" spans="1:6">
      <c r="A15" s="13"/>
      <c r="B15" s="13"/>
      <c r="C15" s="13"/>
      <c r="D15" s="13"/>
      <c r="E15" s="13"/>
      <c r="F15" s="13"/>
    </row>
    <row r="16" spans="1:6">
      <c r="A16" s="13"/>
      <c r="B16" s="13"/>
      <c r="C16" s="13"/>
      <c r="D16" s="13"/>
      <c r="E16" s="13"/>
      <c r="F16" s="13"/>
    </row>
    <row r="17" spans="1:6">
      <c r="A17" s="13"/>
      <c r="B17" s="13"/>
      <c r="C17" s="13"/>
      <c r="D17" s="13"/>
      <c r="E17" s="13"/>
      <c r="F17" s="13"/>
    </row>
    <row r="18" spans="1:6">
      <c r="A18" s="13"/>
      <c r="B18" s="13"/>
      <c r="C18" s="13"/>
      <c r="D18" s="13"/>
      <c r="E18" s="13"/>
      <c r="F18" s="13"/>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tabSelected="1" workbookViewId="0">
      <selection activeCell="E8" sqref="E8"/>
    </sheetView>
  </sheetViews>
  <sheetFormatPr defaultRowHeight="14.25"/>
  <cols>
    <col min="1" max="1" width="27" customWidth="1"/>
    <col min="2" max="2" width="38" customWidth="1"/>
    <col min="3" max="3" width="4" customWidth="1"/>
    <col min="4" max="4" width="25" customWidth="1"/>
    <col min="5" max="5" width="18" customWidth="1"/>
    <col min="6" max="8" width="16" customWidth="1"/>
  </cols>
  <sheetData>
    <row r="1" spans="1:8" ht="33.950000000000003" customHeight="1">
      <c r="A1" s="10" t="s">
        <v>28</v>
      </c>
      <c r="B1" s="10"/>
      <c r="C1" s="10"/>
      <c r="D1" s="10"/>
      <c r="E1" s="10"/>
      <c r="F1" s="10"/>
      <c r="G1" s="10"/>
      <c r="H1" s="10"/>
    </row>
    <row r="3" spans="1:8" ht="15">
      <c r="A3" s="4" t="s">
        <v>29</v>
      </c>
      <c r="B3" s="5" t="s">
        <v>152</v>
      </c>
      <c r="D3" s="14" t="s">
        <v>30</v>
      </c>
      <c r="E3" s="14"/>
      <c r="F3" s="14"/>
      <c r="G3" s="14"/>
      <c r="H3" s="14"/>
    </row>
    <row r="4" spans="1:8" ht="15">
      <c r="A4" s="4" t="s">
        <v>31</v>
      </c>
      <c r="B4" s="5" t="s">
        <v>153</v>
      </c>
      <c r="D4" s="3" t="s">
        <v>32</v>
      </c>
      <c r="E4" s="6">
        <f>COUNTA('Design Progress'!A4:A33)</f>
        <v>12</v>
      </c>
    </row>
    <row r="5" spans="1:8" ht="15">
      <c r="A5" s="4" t="s">
        <v>33</v>
      </c>
      <c r="B5" s="5" t="s">
        <v>171</v>
      </c>
      <c r="D5" s="3" t="s">
        <v>34</v>
      </c>
      <c r="E5" s="6">
        <f>COUNTIF('Design Progress'!G4:G33,"Completed")</f>
        <v>12</v>
      </c>
    </row>
    <row r="6" spans="1:8" ht="15">
      <c r="A6" s="4" t="s">
        <v>35</v>
      </c>
      <c r="B6" s="5" t="s">
        <v>154</v>
      </c>
      <c r="D6" s="3" t="s">
        <v>36</v>
      </c>
      <c r="E6" s="6">
        <f>COUNTIF('Design Progress'!G4:G33,"In Progress")</f>
        <v>0</v>
      </c>
    </row>
    <row r="7" spans="1:8" ht="15">
      <c r="A7" s="4" t="s">
        <v>37</v>
      </c>
      <c r="B7" s="5">
        <v>8</v>
      </c>
      <c r="D7" s="3" t="s">
        <v>38</v>
      </c>
      <c r="E7" s="6">
        <f>COUNTIF('Design Progress'!G4:G33,"Blocked")</f>
        <v>0</v>
      </c>
    </row>
    <row r="8" spans="1:8" ht="15">
      <c r="A8" s="4" t="s">
        <v>39</v>
      </c>
      <c r="B8" s="5" t="s">
        <v>155</v>
      </c>
      <c r="D8" s="3" t="s">
        <v>40</v>
      </c>
      <c r="E8" s="7">
        <f>IFERROR(AVERAGE('Design Progress'!H4:H33),0)</f>
        <v>1</v>
      </c>
    </row>
    <row r="9" spans="1:8" ht="15">
      <c r="A9" s="4" t="s">
        <v>41</v>
      </c>
      <c r="B9" s="5" t="s">
        <v>172</v>
      </c>
    </row>
    <row r="10" spans="1:8" ht="15">
      <c r="A10" s="4" t="s">
        <v>42</v>
      </c>
      <c r="B10" s="5" t="s">
        <v>34</v>
      </c>
      <c r="D10" s="12" t="s">
        <v>44</v>
      </c>
      <c r="E10" s="12"/>
      <c r="F10" s="12"/>
      <c r="G10" s="12"/>
      <c r="H10" s="12"/>
    </row>
    <row r="11" spans="1:8">
      <c r="D11" s="13" t="s">
        <v>45</v>
      </c>
      <c r="E11" s="13"/>
      <c r="F11" s="13"/>
      <c r="G11" s="13"/>
      <c r="H11" s="13"/>
    </row>
    <row r="12" spans="1:8">
      <c r="D12" s="13"/>
      <c r="E12" s="13"/>
      <c r="F12" s="13"/>
      <c r="G12" s="13"/>
      <c r="H12" s="13"/>
    </row>
    <row r="13" spans="1:8">
      <c r="D13" s="13"/>
      <c r="E13" s="13"/>
      <c r="F13" s="13"/>
      <c r="G13" s="13"/>
      <c r="H13" s="13"/>
    </row>
    <row r="14" spans="1:8">
      <c r="D14" s="13"/>
      <c r="E14" s="13"/>
      <c r="F14" s="13"/>
      <c r="G14" s="13"/>
      <c r="H14" s="13"/>
    </row>
    <row r="15" spans="1:8">
      <c r="D15" s="13"/>
      <c r="E15" s="13"/>
      <c r="F15" s="13"/>
      <c r="G15" s="13"/>
      <c r="H15" s="13"/>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A4" workbookViewId="0">
      <selection activeCell="I9" sqref="I9"/>
    </sheetView>
  </sheetViews>
  <sheetFormatPr defaultRowHeight="14.25"/>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950000000000003" customHeight="1">
      <c r="A1" s="10" t="s">
        <v>46</v>
      </c>
      <c r="B1" s="10"/>
      <c r="C1" s="10"/>
      <c r="D1" s="10"/>
      <c r="E1" s="10"/>
      <c r="F1" s="10"/>
      <c r="G1" s="10"/>
      <c r="H1" s="10"/>
      <c r="I1" s="10"/>
      <c r="J1" s="10"/>
    </row>
    <row r="3" spans="1:10" ht="30" customHeight="1">
      <c r="A3" s="1" t="s">
        <v>47</v>
      </c>
      <c r="B3" s="1" t="s">
        <v>48</v>
      </c>
      <c r="C3" s="1" t="s">
        <v>49</v>
      </c>
      <c r="D3" s="1" t="s">
        <v>50</v>
      </c>
      <c r="E3" s="1" t="s">
        <v>51</v>
      </c>
      <c r="F3" s="1" t="s">
        <v>52</v>
      </c>
      <c r="G3" s="1" t="s">
        <v>53</v>
      </c>
      <c r="H3" s="1" t="s">
        <v>54</v>
      </c>
      <c r="I3" s="1" t="s">
        <v>55</v>
      </c>
      <c r="J3" s="1" t="s">
        <v>56</v>
      </c>
    </row>
    <row r="4" spans="1:10" ht="99.75">
      <c r="A4" s="2" t="s">
        <v>57</v>
      </c>
      <c r="B4" s="2" t="s">
        <v>58</v>
      </c>
      <c r="C4" s="2" t="s">
        <v>59</v>
      </c>
      <c r="D4" s="5" t="s">
        <v>163</v>
      </c>
      <c r="E4" s="5" t="s">
        <v>170</v>
      </c>
      <c r="F4" s="5" t="s">
        <v>34</v>
      </c>
      <c r="G4" s="5" t="s">
        <v>34</v>
      </c>
      <c r="H4" s="8">
        <v>1</v>
      </c>
      <c r="I4" s="19" t="s">
        <v>161</v>
      </c>
      <c r="J4" s="5"/>
    </row>
    <row r="5" spans="1:10" ht="99.75">
      <c r="A5" s="2" t="s">
        <v>60</v>
      </c>
      <c r="B5" s="2" t="s">
        <v>61</v>
      </c>
      <c r="C5" s="2" t="s">
        <v>62</v>
      </c>
      <c r="D5" s="5" t="s">
        <v>163</v>
      </c>
      <c r="E5" s="5"/>
      <c r="F5" s="5" t="s">
        <v>34</v>
      </c>
      <c r="G5" s="5" t="s">
        <v>34</v>
      </c>
      <c r="H5" s="8">
        <v>1</v>
      </c>
      <c r="I5" s="19" t="s">
        <v>160</v>
      </c>
      <c r="J5" s="5"/>
    </row>
    <row r="6" spans="1:10" ht="71.25">
      <c r="A6" s="2" t="s">
        <v>63</v>
      </c>
      <c r="B6" s="2" t="s">
        <v>64</v>
      </c>
      <c r="C6" s="2" t="s">
        <v>65</v>
      </c>
      <c r="D6" s="5" t="s">
        <v>163</v>
      </c>
      <c r="E6" s="5"/>
      <c r="F6" s="5" t="s">
        <v>34</v>
      </c>
      <c r="G6" s="5" t="s">
        <v>34</v>
      </c>
      <c r="H6" s="8">
        <v>1</v>
      </c>
      <c r="I6" s="19" t="s">
        <v>159</v>
      </c>
      <c r="J6" s="5"/>
    </row>
    <row r="7" spans="1:10" ht="99.75">
      <c r="A7" s="2" t="s">
        <v>66</v>
      </c>
      <c r="B7" s="2" t="s">
        <v>67</v>
      </c>
      <c r="C7" s="2" t="s">
        <v>68</v>
      </c>
      <c r="D7" s="5" t="s">
        <v>163</v>
      </c>
      <c r="E7" s="5"/>
      <c r="F7" s="5" t="s">
        <v>34</v>
      </c>
      <c r="G7" s="5" t="s">
        <v>34</v>
      </c>
      <c r="H7" s="8">
        <v>1</v>
      </c>
      <c r="I7" s="19" t="s">
        <v>162</v>
      </c>
      <c r="J7" s="5"/>
    </row>
    <row r="8" spans="1:10" ht="99.75">
      <c r="A8" s="2" t="s">
        <v>69</v>
      </c>
      <c r="B8" s="2" t="s">
        <v>70</v>
      </c>
      <c r="C8" s="2" t="s">
        <v>71</v>
      </c>
      <c r="D8" s="5" t="s">
        <v>164</v>
      </c>
      <c r="E8" s="5"/>
      <c r="F8" s="5" t="s">
        <v>34</v>
      </c>
      <c r="G8" s="5" t="s">
        <v>34</v>
      </c>
      <c r="H8" s="8">
        <v>1</v>
      </c>
      <c r="I8" s="19" t="s">
        <v>158</v>
      </c>
      <c r="J8" s="5"/>
    </row>
    <row r="9" spans="1:10" ht="42.75">
      <c r="A9" s="2" t="s">
        <v>72</v>
      </c>
      <c r="B9" s="2" t="s">
        <v>73</v>
      </c>
      <c r="C9" s="2" t="s">
        <v>74</v>
      </c>
      <c r="D9" s="5" t="s">
        <v>165</v>
      </c>
      <c r="E9" s="5"/>
      <c r="F9" s="5" t="s">
        <v>34</v>
      </c>
      <c r="G9" s="5" t="s">
        <v>34</v>
      </c>
      <c r="H9" s="8">
        <v>1</v>
      </c>
      <c r="I9" s="19" t="s">
        <v>156</v>
      </c>
      <c r="J9" s="5"/>
    </row>
    <row r="10" spans="1:10" ht="57">
      <c r="A10" s="2" t="s">
        <v>75</v>
      </c>
      <c r="B10" s="2" t="s">
        <v>76</v>
      </c>
      <c r="C10" s="2" t="s">
        <v>77</v>
      </c>
      <c r="D10" s="5" t="s">
        <v>166</v>
      </c>
      <c r="E10" s="5"/>
      <c r="F10" s="5" t="s">
        <v>34</v>
      </c>
      <c r="G10" s="5" t="s">
        <v>34</v>
      </c>
      <c r="H10" s="8">
        <v>1</v>
      </c>
      <c r="I10" s="19" t="s">
        <v>157</v>
      </c>
      <c r="J10" s="5"/>
    </row>
    <row r="11" spans="1:10" ht="99.75">
      <c r="A11" s="2" t="s">
        <v>78</v>
      </c>
      <c r="B11" s="2" t="s">
        <v>79</v>
      </c>
      <c r="C11" s="2" t="s">
        <v>80</v>
      </c>
      <c r="D11" s="5" t="s">
        <v>167</v>
      </c>
      <c r="E11" s="5"/>
      <c r="F11" s="5" t="s">
        <v>34</v>
      </c>
      <c r="G11" s="5" t="s">
        <v>34</v>
      </c>
      <c r="H11" s="8">
        <v>1</v>
      </c>
      <c r="I11" s="5"/>
      <c r="J11" s="5"/>
    </row>
    <row r="12" spans="1:10" ht="28.5">
      <c r="A12" s="2" t="s">
        <v>81</v>
      </c>
      <c r="B12" s="2" t="s">
        <v>82</v>
      </c>
      <c r="C12" s="2" t="s">
        <v>83</v>
      </c>
      <c r="D12" s="5" t="s">
        <v>154</v>
      </c>
      <c r="E12" s="5"/>
      <c r="F12" s="5" t="s">
        <v>34</v>
      </c>
      <c r="G12" s="5" t="s">
        <v>34</v>
      </c>
      <c r="H12" s="8">
        <v>1</v>
      </c>
      <c r="I12" s="5"/>
      <c r="J12" s="5"/>
    </row>
    <row r="13" spans="1:10" ht="28.5">
      <c r="A13" s="2" t="s">
        <v>84</v>
      </c>
      <c r="B13" s="2" t="s">
        <v>85</v>
      </c>
      <c r="C13" s="2" t="s">
        <v>86</v>
      </c>
      <c r="D13" s="5" t="s">
        <v>168</v>
      </c>
      <c r="E13" s="5"/>
      <c r="F13" s="5" t="s">
        <v>34</v>
      </c>
      <c r="G13" s="5" t="s">
        <v>34</v>
      </c>
      <c r="H13" s="8">
        <v>1</v>
      </c>
      <c r="I13" s="5"/>
      <c r="J13" s="5"/>
    </row>
    <row r="14" spans="1:10" ht="42.75">
      <c r="A14" s="2" t="s">
        <v>87</v>
      </c>
      <c r="B14" s="2" t="s">
        <v>88</v>
      </c>
      <c r="C14" s="2" t="s">
        <v>89</v>
      </c>
      <c r="D14" s="5" t="s">
        <v>169</v>
      </c>
      <c r="E14" s="5"/>
      <c r="F14" s="5" t="s">
        <v>34</v>
      </c>
      <c r="G14" s="5" t="s">
        <v>34</v>
      </c>
      <c r="H14" s="8">
        <v>1</v>
      </c>
      <c r="I14" s="19" t="s">
        <v>155</v>
      </c>
      <c r="J14" s="5"/>
    </row>
    <row r="15" spans="1:10">
      <c r="A15" s="2" t="s">
        <v>90</v>
      </c>
      <c r="B15" s="2" t="s">
        <v>91</v>
      </c>
      <c r="C15" s="2" t="s">
        <v>92</v>
      </c>
      <c r="D15" s="5" t="s">
        <v>163</v>
      </c>
      <c r="E15" s="5"/>
      <c r="F15" s="5" t="s">
        <v>34</v>
      </c>
      <c r="G15" s="5" t="s">
        <v>34</v>
      </c>
      <c r="H15" s="8">
        <v>1</v>
      </c>
      <c r="I15" s="5"/>
      <c r="J15" s="5"/>
    </row>
    <row r="16" spans="1:10">
      <c r="A16" s="2"/>
      <c r="B16" s="2"/>
      <c r="C16" s="2"/>
      <c r="D16" s="5"/>
      <c r="E16" s="5"/>
      <c r="F16" s="5"/>
      <c r="G16" s="5"/>
      <c r="H16" s="8"/>
      <c r="I16" s="5"/>
      <c r="J16" s="5"/>
    </row>
    <row r="17" spans="1:10">
      <c r="A17" s="2"/>
      <c r="B17" s="2"/>
      <c r="C17" s="2"/>
      <c r="D17" s="5"/>
      <c r="E17" s="5"/>
      <c r="F17" s="5"/>
      <c r="G17" s="5"/>
      <c r="H17" s="8"/>
      <c r="I17" s="5"/>
      <c r="J17" s="5"/>
    </row>
    <row r="18" spans="1:10">
      <c r="A18" s="2"/>
      <c r="B18" s="2"/>
      <c r="C18" s="2"/>
      <c r="D18" s="5"/>
      <c r="E18" s="5"/>
      <c r="F18" s="5"/>
      <c r="G18" s="5"/>
      <c r="H18" s="8"/>
      <c r="I18" s="5"/>
      <c r="J18" s="5"/>
    </row>
    <row r="19" spans="1:10">
      <c r="A19" s="2"/>
      <c r="B19" s="2"/>
      <c r="C19" s="2"/>
      <c r="D19" s="5"/>
      <c r="E19" s="5"/>
      <c r="F19" s="5"/>
      <c r="G19" s="5"/>
      <c r="H19" s="8"/>
      <c r="I19" s="5"/>
      <c r="J19" s="5"/>
    </row>
    <row r="20" spans="1:10">
      <c r="A20" s="2"/>
      <c r="B20" s="2"/>
      <c r="C20" s="2"/>
      <c r="D20" s="5"/>
      <c r="E20" s="5"/>
      <c r="F20" s="5"/>
      <c r="G20" s="5"/>
      <c r="H20" s="8"/>
      <c r="I20" s="5"/>
      <c r="J20" s="5"/>
    </row>
    <row r="21" spans="1:10">
      <c r="A21" s="2"/>
      <c r="B21" s="2"/>
      <c r="C21" s="2"/>
      <c r="D21" s="5"/>
      <c r="E21" s="5"/>
      <c r="F21" s="5"/>
      <c r="G21" s="5"/>
      <c r="H21" s="8"/>
      <c r="I21" s="5"/>
      <c r="J21" s="5"/>
    </row>
    <row r="22" spans="1:10">
      <c r="A22" s="2"/>
      <c r="B22" s="2"/>
      <c r="C22" s="2"/>
      <c r="D22" s="5"/>
      <c r="E22" s="5"/>
      <c r="F22" s="5"/>
      <c r="G22" s="5"/>
      <c r="H22" s="8"/>
      <c r="I22" s="5"/>
      <c r="J22" s="5"/>
    </row>
    <row r="23" spans="1:10">
      <c r="A23" s="2"/>
      <c r="B23" s="2"/>
      <c r="C23" s="2"/>
      <c r="D23" s="5"/>
      <c r="E23" s="5"/>
      <c r="F23" s="5"/>
      <c r="G23" s="5"/>
      <c r="H23" s="8"/>
      <c r="I23" s="5"/>
      <c r="J23" s="5"/>
    </row>
    <row r="24" spans="1:10">
      <c r="A24" s="2"/>
      <c r="B24" s="2"/>
      <c r="C24" s="2"/>
      <c r="D24" s="5"/>
      <c r="E24" s="5"/>
      <c r="F24" s="5"/>
      <c r="G24" s="5"/>
      <c r="H24" s="8"/>
      <c r="I24" s="5"/>
      <c r="J24" s="5"/>
    </row>
    <row r="25" spans="1:10">
      <c r="A25" s="2"/>
      <c r="B25" s="2"/>
      <c r="C25" s="2"/>
      <c r="D25" s="5"/>
      <c r="E25" s="5"/>
      <c r="F25" s="5"/>
      <c r="G25" s="5"/>
      <c r="H25" s="8"/>
      <c r="I25" s="5"/>
      <c r="J25" s="5"/>
    </row>
    <row r="26" spans="1:10">
      <c r="A26" s="2"/>
      <c r="B26" s="2"/>
      <c r="C26" s="2"/>
      <c r="D26" s="5"/>
      <c r="E26" s="5"/>
      <c r="F26" s="5"/>
      <c r="G26" s="5"/>
      <c r="H26" s="8"/>
      <c r="I26" s="5"/>
      <c r="J26" s="5"/>
    </row>
    <row r="27" spans="1:10">
      <c r="A27" s="2"/>
      <c r="B27" s="2"/>
      <c r="C27" s="2"/>
      <c r="D27" s="5"/>
      <c r="E27" s="5"/>
      <c r="F27" s="5"/>
      <c r="G27" s="5"/>
      <c r="H27" s="8"/>
      <c r="I27" s="5"/>
      <c r="J27" s="5"/>
    </row>
    <row r="28" spans="1:10">
      <c r="A28" s="2"/>
      <c r="B28" s="2"/>
      <c r="C28" s="2"/>
      <c r="D28" s="5"/>
      <c r="E28" s="5"/>
      <c r="F28" s="5"/>
      <c r="G28" s="5"/>
      <c r="H28" s="8"/>
      <c r="I28" s="5"/>
      <c r="J28" s="5"/>
    </row>
    <row r="29" spans="1:10">
      <c r="A29" s="2"/>
      <c r="B29" s="2"/>
      <c r="C29" s="2"/>
      <c r="D29" s="5"/>
      <c r="E29" s="5"/>
      <c r="F29" s="5"/>
      <c r="G29" s="5"/>
      <c r="H29" s="8"/>
      <c r="I29" s="5"/>
      <c r="J29" s="5"/>
    </row>
    <row r="30" spans="1:10">
      <c r="A30" s="2"/>
      <c r="B30" s="2"/>
      <c r="C30" s="2"/>
      <c r="D30" s="5"/>
      <c r="E30" s="5"/>
      <c r="F30" s="5"/>
      <c r="G30" s="5"/>
      <c r="H30" s="8"/>
      <c r="I30" s="5"/>
      <c r="J30" s="5"/>
    </row>
    <row r="31" spans="1:10">
      <c r="A31" s="2"/>
      <c r="B31" s="2"/>
      <c r="C31" s="2"/>
      <c r="D31" s="5"/>
      <c r="E31" s="5"/>
      <c r="F31" s="5"/>
      <c r="G31" s="5"/>
      <c r="H31" s="8"/>
      <c r="I31" s="5"/>
      <c r="J31" s="5"/>
    </row>
    <row r="32" spans="1:10">
      <c r="A32" s="2"/>
      <c r="B32" s="2"/>
      <c r="C32" s="2"/>
      <c r="D32" s="5"/>
      <c r="E32" s="5"/>
      <c r="F32" s="5"/>
      <c r="G32" s="5"/>
      <c r="H32" s="8"/>
      <c r="I32" s="5"/>
      <c r="J32" s="5"/>
    </row>
    <row r="33" spans="1:10">
      <c r="A33" s="2"/>
      <c r="B33" s="2"/>
      <c r="C33" s="2"/>
      <c r="D33" s="5"/>
      <c r="E33" s="5"/>
      <c r="F33" s="5"/>
      <c r="G33" s="5"/>
      <c r="H33" s="8"/>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onditionalFormatting>
  <conditionalFormatting sqref="H4:H33">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1">
    <dataValidation type="list" sqref="G4:G33" xr:uid="{00000000-0002-0000-0200-000000000000}">
      <formula1>"Not Started,In Progress,Completed,Blocked"</formula1>
    </dataValidation>
  </dataValidations>
  <hyperlinks>
    <hyperlink ref="I14" r:id="rId1" xr:uid="{1457EF70-A841-4B78-B0F1-C474DC0CF7F5}"/>
    <hyperlink ref="I10" r:id="rId2" xr:uid="{1FA04B0E-9AC1-4851-802B-11FC270C49B1}"/>
    <hyperlink ref="I9" r:id="rId3" xr:uid="{DBAAEDF6-E95D-4968-AED3-2CF40BE4F235}"/>
    <hyperlink ref="I8" r:id="rId4" xr:uid="{28111275-4C55-422D-8C42-9A77322EFCC5}"/>
    <hyperlink ref="I6" r:id="rId5" xr:uid="{905093D3-7290-4BA4-A80C-DDBFB7F231F6}"/>
    <hyperlink ref="I5" r:id="rId6" xr:uid="{FF7DA8F6-1281-4419-B06D-4C859AD4119D}"/>
    <hyperlink ref="I4" r:id="rId7" xr:uid="{83EED31C-5524-4E4B-8FC9-BC1C2EA2D26A}"/>
    <hyperlink ref="I7" r:id="rId8" xr:uid="{491AA5C8-A123-4597-AA4B-327A444A141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A4" workbookViewId="0">
      <selection activeCell="H18" sqref="H18"/>
    </sheetView>
  </sheetViews>
  <sheetFormatPr defaultRowHeight="14.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950000000000003" customHeight="1">
      <c r="A1" s="10" t="s">
        <v>93</v>
      </c>
      <c r="B1" s="10"/>
      <c r="C1" s="10"/>
      <c r="D1" s="10"/>
      <c r="E1" s="10"/>
      <c r="F1" s="10"/>
      <c r="G1" s="10"/>
      <c r="H1" s="10"/>
      <c r="I1" s="10"/>
      <c r="J1" s="10"/>
      <c r="K1" s="10"/>
      <c r="L1" s="10"/>
    </row>
    <row r="3" spans="1:12" ht="30" customHeight="1">
      <c r="A3" s="1" t="s">
        <v>94</v>
      </c>
      <c r="B3" s="1" t="s">
        <v>95</v>
      </c>
      <c r="C3" s="1" t="s">
        <v>96</v>
      </c>
      <c r="D3" s="1" t="s">
        <v>97</v>
      </c>
      <c r="E3" s="1" t="s">
        <v>98</v>
      </c>
      <c r="F3" s="1" t="s">
        <v>99</v>
      </c>
      <c r="G3" s="1" t="s">
        <v>100</v>
      </c>
      <c r="H3" s="1" t="s">
        <v>55</v>
      </c>
      <c r="I3" s="1" t="s">
        <v>101</v>
      </c>
      <c r="J3" s="1" t="s">
        <v>102</v>
      </c>
      <c r="K3" s="1" t="s">
        <v>103</v>
      </c>
      <c r="L3" s="1" t="s">
        <v>104</v>
      </c>
    </row>
    <row r="4" spans="1:12">
      <c r="A4" s="5" t="s">
        <v>168</v>
      </c>
      <c r="B4" s="5">
        <v>224076426</v>
      </c>
      <c r="C4" s="5"/>
      <c r="D4" s="5" t="s">
        <v>218</v>
      </c>
      <c r="E4" s="5" t="s">
        <v>218</v>
      </c>
      <c r="F4" s="20">
        <v>46303</v>
      </c>
      <c r="G4" s="5" t="s">
        <v>223</v>
      </c>
      <c r="H4" s="5"/>
      <c r="I4" s="5" t="s">
        <v>173</v>
      </c>
      <c r="J4" s="20">
        <v>46307</v>
      </c>
      <c r="K4" s="5"/>
      <c r="L4" s="5" t="s">
        <v>34</v>
      </c>
    </row>
    <row r="5" spans="1:12">
      <c r="A5" s="5" t="s">
        <v>154</v>
      </c>
      <c r="B5" s="5">
        <v>221030472</v>
      </c>
      <c r="C5" s="5"/>
      <c r="D5" s="5" t="s">
        <v>219</v>
      </c>
      <c r="E5" s="5" t="s">
        <v>219</v>
      </c>
      <c r="F5" s="20">
        <v>46307</v>
      </c>
      <c r="G5" s="5" t="s">
        <v>226</v>
      </c>
      <c r="H5" s="5"/>
      <c r="I5" s="5" t="s">
        <v>173</v>
      </c>
      <c r="J5" s="20">
        <v>46308</v>
      </c>
      <c r="K5" s="5"/>
      <c r="L5" s="5" t="s">
        <v>34</v>
      </c>
    </row>
    <row r="6" spans="1:12" ht="99.75">
      <c r="A6" s="5" t="s">
        <v>212</v>
      </c>
      <c r="B6" s="5">
        <v>223051300</v>
      </c>
      <c r="C6" s="5"/>
      <c r="D6" s="5" t="s">
        <v>61</v>
      </c>
      <c r="E6" s="5" t="s">
        <v>61</v>
      </c>
      <c r="F6" s="20">
        <v>46307</v>
      </c>
      <c r="G6" s="5" t="s">
        <v>229</v>
      </c>
      <c r="H6" s="19" t="s">
        <v>160</v>
      </c>
      <c r="I6" s="5" t="s">
        <v>173</v>
      </c>
      <c r="J6" s="20">
        <v>46309</v>
      </c>
      <c r="K6" s="5"/>
      <c r="L6" s="5" t="s">
        <v>34</v>
      </c>
    </row>
    <row r="7" spans="1:12" ht="99.75">
      <c r="A7" s="5" t="s">
        <v>213</v>
      </c>
      <c r="B7" s="5">
        <v>223035662</v>
      </c>
      <c r="C7" s="5"/>
      <c r="D7" s="5" t="s">
        <v>217</v>
      </c>
      <c r="E7" s="5" t="s">
        <v>217</v>
      </c>
      <c r="F7" s="20">
        <v>46303</v>
      </c>
      <c r="G7" s="5" t="s">
        <v>230</v>
      </c>
      <c r="H7" s="19" t="s">
        <v>161</v>
      </c>
      <c r="I7" s="5" t="s">
        <v>173</v>
      </c>
      <c r="J7" s="20">
        <v>46310</v>
      </c>
      <c r="K7" s="5"/>
      <c r="L7" s="5" t="s">
        <v>34</v>
      </c>
    </row>
    <row r="8" spans="1:12" ht="99.75">
      <c r="A8" s="5" t="s">
        <v>214</v>
      </c>
      <c r="B8" s="5">
        <v>221000945</v>
      </c>
      <c r="C8" s="5"/>
      <c r="D8" s="5" t="s">
        <v>221</v>
      </c>
      <c r="E8" s="5" t="s">
        <v>221</v>
      </c>
      <c r="F8" s="20">
        <v>46303</v>
      </c>
      <c r="G8" s="5" t="s">
        <v>227</v>
      </c>
      <c r="H8" s="19" t="s">
        <v>158</v>
      </c>
      <c r="I8" s="5" t="s">
        <v>173</v>
      </c>
      <c r="J8" s="20">
        <v>46311</v>
      </c>
      <c r="K8" s="5"/>
      <c r="L8" s="5" t="s">
        <v>34</v>
      </c>
    </row>
    <row r="9" spans="1:12" ht="99.75">
      <c r="A9" s="5" t="s">
        <v>215</v>
      </c>
      <c r="B9" s="5">
        <v>223059551</v>
      </c>
      <c r="C9" s="5"/>
      <c r="D9" s="5" t="s">
        <v>221</v>
      </c>
      <c r="E9" s="5" t="s">
        <v>221</v>
      </c>
      <c r="F9" s="20">
        <v>46303</v>
      </c>
      <c r="G9" s="5" t="s">
        <v>227</v>
      </c>
      <c r="H9" s="19" t="s">
        <v>158</v>
      </c>
      <c r="I9" s="5" t="s">
        <v>173</v>
      </c>
      <c r="J9" s="20">
        <v>46312</v>
      </c>
      <c r="K9" s="5"/>
      <c r="L9" s="5" t="s">
        <v>34</v>
      </c>
    </row>
    <row r="10" spans="1:12" ht="71.25">
      <c r="A10" s="5" t="s">
        <v>216</v>
      </c>
      <c r="B10" s="5">
        <v>223035639</v>
      </c>
      <c r="C10" s="5"/>
      <c r="D10" s="5" t="s">
        <v>222</v>
      </c>
      <c r="E10" s="5" t="s">
        <v>222</v>
      </c>
      <c r="F10" s="20">
        <v>46303</v>
      </c>
      <c r="G10" s="5" t="s">
        <v>228</v>
      </c>
      <c r="H10" s="19" t="s">
        <v>159</v>
      </c>
      <c r="I10" s="5" t="s">
        <v>173</v>
      </c>
      <c r="J10" s="20">
        <v>46313</v>
      </c>
      <c r="K10" s="5"/>
      <c r="L10" s="5" t="s">
        <v>34</v>
      </c>
    </row>
    <row r="11" spans="1:12" ht="42.75">
      <c r="A11" s="5" t="s">
        <v>169</v>
      </c>
      <c r="B11" s="5">
        <v>224061529</v>
      </c>
      <c r="C11" s="5"/>
      <c r="D11" s="5" t="s">
        <v>220</v>
      </c>
      <c r="E11" s="5" t="s">
        <v>220</v>
      </c>
      <c r="F11" s="20">
        <v>46306</v>
      </c>
      <c r="G11" s="5" t="s">
        <v>231</v>
      </c>
      <c r="H11" s="19" t="s">
        <v>155</v>
      </c>
      <c r="I11" s="5" t="s">
        <v>173</v>
      </c>
      <c r="J11" s="20">
        <v>46314</v>
      </c>
      <c r="K11" s="5"/>
      <c r="L11" s="5" t="s">
        <v>34</v>
      </c>
    </row>
    <row r="12" spans="1:12" ht="42.75">
      <c r="A12" s="5" t="s">
        <v>224</v>
      </c>
      <c r="B12" s="5"/>
      <c r="C12" s="5"/>
      <c r="D12" s="5" t="s">
        <v>225</v>
      </c>
      <c r="E12" s="5" t="s">
        <v>225</v>
      </c>
      <c r="F12" s="20">
        <v>46305</v>
      </c>
      <c r="G12" s="5" t="s">
        <v>232</v>
      </c>
      <c r="H12" s="19" t="s">
        <v>156</v>
      </c>
      <c r="I12" s="5" t="s">
        <v>173</v>
      </c>
      <c r="J12" s="20">
        <v>46315</v>
      </c>
      <c r="K12" s="5"/>
      <c r="L12" s="5" t="s">
        <v>34</v>
      </c>
    </row>
    <row r="13" spans="1:12">
      <c r="A13" s="5"/>
      <c r="B13" s="5"/>
      <c r="C13" s="5"/>
      <c r="D13" s="5"/>
      <c r="E13" s="5"/>
      <c r="F13" s="5"/>
      <c r="G13" s="5"/>
      <c r="H13" s="5"/>
      <c r="I13" s="5" t="s">
        <v>105</v>
      </c>
      <c r="J13" s="5"/>
      <c r="K13" s="5"/>
      <c r="L13" s="5" t="s">
        <v>43</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phoneticPr fontId="5" type="noConversion"/>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hyperlinks>
    <hyperlink ref="H7" r:id="rId1" xr:uid="{9D2934DE-95FD-4692-88B5-7C12DB6B5E21}"/>
    <hyperlink ref="H6" r:id="rId2" xr:uid="{E4388EE3-4D34-46B1-AF55-3F8BDE9EE5B8}"/>
    <hyperlink ref="H8" r:id="rId3" xr:uid="{CF69EA98-474F-4CCE-A3C2-EB1B9E64D281}"/>
    <hyperlink ref="H9" r:id="rId4" xr:uid="{B7E64739-C7BD-4848-8A1E-F9890FBE3FEA}"/>
    <hyperlink ref="H10" r:id="rId5" xr:uid="{D9875808-4A9E-4F64-B756-C1C44C1B8D0B}"/>
    <hyperlink ref="H11" r:id="rId6" xr:uid="{84500FE3-DDCC-4089-A869-8857CDE0B062}"/>
    <hyperlink ref="H12" r:id="rId7" xr:uid="{310A7270-FAF8-4678-AE84-0CD4F609EFC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topLeftCell="A7" workbookViewId="0">
      <selection activeCell="C6" sqref="C6"/>
    </sheetView>
  </sheetViews>
  <sheetFormatPr defaultRowHeight="14.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950000000000003" customHeight="1">
      <c r="A1" s="10" t="s">
        <v>106</v>
      </c>
      <c r="B1" s="10"/>
      <c r="C1" s="10"/>
      <c r="D1" s="10"/>
      <c r="E1" s="10"/>
      <c r="F1" s="10"/>
      <c r="G1" s="10"/>
      <c r="H1" s="10"/>
    </row>
    <row r="3" spans="1:8" ht="30" customHeight="1">
      <c r="A3" s="1" t="s">
        <v>107</v>
      </c>
      <c r="B3" s="1" t="s">
        <v>108</v>
      </c>
      <c r="C3" s="1" t="s">
        <v>109</v>
      </c>
      <c r="D3" s="1" t="s">
        <v>110</v>
      </c>
      <c r="E3" s="1" t="s">
        <v>111</v>
      </c>
      <c r="F3" s="1" t="s">
        <v>112</v>
      </c>
      <c r="G3" s="1" t="s">
        <v>113</v>
      </c>
      <c r="H3" s="1" t="s">
        <v>114</v>
      </c>
    </row>
    <row r="4" spans="1:8" ht="57">
      <c r="A4" t="s">
        <v>58</v>
      </c>
      <c r="B4" s="5" t="s">
        <v>174</v>
      </c>
      <c r="C4" s="19" t="s">
        <v>161</v>
      </c>
      <c r="D4" s="5" t="s">
        <v>173</v>
      </c>
      <c r="E4" s="20">
        <v>46244</v>
      </c>
      <c r="F4" s="5" t="s">
        <v>163</v>
      </c>
      <c r="G4" s="5" t="s">
        <v>173</v>
      </c>
      <c r="H4" s="5"/>
    </row>
    <row r="5" spans="1:8" ht="57">
      <c r="A5" t="s">
        <v>61</v>
      </c>
      <c r="B5" s="5" t="s">
        <v>174</v>
      </c>
      <c r="C5" s="19" t="s">
        <v>160</v>
      </c>
      <c r="D5" s="5" t="s">
        <v>173</v>
      </c>
      <c r="E5" s="20">
        <v>46244</v>
      </c>
      <c r="F5" s="5" t="s">
        <v>163</v>
      </c>
      <c r="G5" s="5" t="s">
        <v>173</v>
      </c>
      <c r="H5" s="5"/>
    </row>
    <row r="6" spans="1:8" ht="42.75">
      <c r="A6" t="s">
        <v>64</v>
      </c>
      <c r="B6" s="5" t="s">
        <v>174</v>
      </c>
      <c r="C6" s="19" t="s">
        <v>159</v>
      </c>
      <c r="D6" s="5" t="s">
        <v>173</v>
      </c>
      <c r="E6" s="20">
        <v>46244</v>
      </c>
      <c r="F6" s="5" t="s">
        <v>163</v>
      </c>
      <c r="G6" s="5" t="s">
        <v>173</v>
      </c>
      <c r="H6" s="5"/>
    </row>
    <row r="7" spans="1:8" ht="57">
      <c r="A7" t="s">
        <v>67</v>
      </c>
      <c r="B7" s="5" t="s">
        <v>174</v>
      </c>
      <c r="C7" s="19" t="s">
        <v>162</v>
      </c>
      <c r="D7" s="5" t="s">
        <v>173</v>
      </c>
      <c r="E7" s="20">
        <v>46244</v>
      </c>
      <c r="F7" s="5" t="s">
        <v>163</v>
      </c>
      <c r="G7" s="5" t="s">
        <v>173</v>
      </c>
      <c r="H7" s="5"/>
    </row>
    <row r="8" spans="1:8" ht="57">
      <c r="A8" t="s">
        <v>70</v>
      </c>
      <c r="B8" s="5" t="s">
        <v>174</v>
      </c>
      <c r="C8" s="19" t="s">
        <v>158</v>
      </c>
      <c r="D8" s="5" t="s">
        <v>173</v>
      </c>
      <c r="E8" s="20">
        <v>46244</v>
      </c>
      <c r="F8" s="5" t="s">
        <v>164</v>
      </c>
      <c r="G8" s="5" t="s">
        <v>173</v>
      </c>
      <c r="H8" s="5"/>
    </row>
    <row r="9" spans="1:8" ht="42.75">
      <c r="A9" t="s">
        <v>73</v>
      </c>
      <c r="B9" s="5" t="s">
        <v>175</v>
      </c>
      <c r="C9" s="19" t="s">
        <v>156</v>
      </c>
      <c r="D9" s="5" t="s">
        <v>173</v>
      </c>
      <c r="E9" s="20">
        <v>46305</v>
      </c>
      <c r="F9" s="5" t="s">
        <v>165</v>
      </c>
      <c r="G9" s="5" t="s">
        <v>173</v>
      </c>
      <c r="H9" s="5"/>
    </row>
    <row r="10" spans="1:8" ht="57">
      <c r="A10" t="s">
        <v>76</v>
      </c>
      <c r="B10" s="5" t="s">
        <v>175</v>
      </c>
      <c r="C10" s="19" t="s">
        <v>157</v>
      </c>
      <c r="D10" s="5" t="s">
        <v>173</v>
      </c>
      <c r="E10" s="20">
        <v>46305</v>
      </c>
      <c r="F10" s="5" t="s">
        <v>166</v>
      </c>
      <c r="G10" s="5" t="s">
        <v>173</v>
      </c>
      <c r="H10" s="5"/>
    </row>
    <row r="11" spans="1:8" ht="99.75">
      <c r="A11" t="s">
        <v>115</v>
      </c>
      <c r="B11" s="5" t="s">
        <v>178</v>
      </c>
      <c r="C11" s="19" t="s">
        <v>177</v>
      </c>
      <c r="D11" s="5" t="s">
        <v>173</v>
      </c>
      <c r="E11" s="20">
        <v>46305</v>
      </c>
      <c r="F11" s="5" t="s">
        <v>176</v>
      </c>
      <c r="G11" s="5" t="s">
        <v>173</v>
      </c>
      <c r="H11" s="5"/>
    </row>
    <row r="12" spans="1:8" ht="99.75">
      <c r="A12" t="s">
        <v>115</v>
      </c>
      <c r="B12" s="5" t="s">
        <v>179</v>
      </c>
      <c r="C12" s="19" t="s">
        <v>180</v>
      </c>
      <c r="D12" s="5" t="s">
        <v>173</v>
      </c>
      <c r="E12" s="20">
        <v>46305</v>
      </c>
      <c r="F12" s="5" t="s">
        <v>176</v>
      </c>
      <c r="G12" s="5" t="s">
        <v>173</v>
      </c>
      <c r="H12" s="5"/>
    </row>
  </sheetData>
  <mergeCells count="1">
    <mergeCell ref="A1:H1"/>
  </mergeCells>
  <dataValidations count="1">
    <dataValidation type="list" sqref="G4:G12 D4:D12" xr:uid="{00000000-0002-0000-0400-000000000000}">
      <formula1>"Yes,No"</formula1>
    </dataValidation>
  </dataValidations>
  <hyperlinks>
    <hyperlink ref="C4" r:id="rId1" xr:uid="{E1E60F97-EBFC-47CC-BB61-62C160F2CFA4}"/>
    <hyperlink ref="C6" r:id="rId2" xr:uid="{AC058E1C-421D-47AA-BF6A-BD48640AB39B}"/>
    <hyperlink ref="C7" r:id="rId3" xr:uid="{1E8F1527-7507-4C78-B6AF-35633909EF6C}"/>
    <hyperlink ref="C8" r:id="rId4" xr:uid="{6B2FB1EB-A9DC-49DD-A77C-E7189B3DED27}"/>
    <hyperlink ref="C9" r:id="rId5" xr:uid="{A23C79F9-18D5-408D-9CA5-E2D96AA74F12}"/>
    <hyperlink ref="C10" r:id="rId6" xr:uid="{0E8FBDA1-F93A-4A66-96DC-F6E94F6F85F3}"/>
    <hyperlink ref="C11" r:id="rId7" xr:uid="{41A735EC-D408-47D1-BF70-C396B9D4F70A}"/>
    <hyperlink ref="C12" r:id="rId8" display="https://www.figma.com/proto/f1h48hYRyC20CkUCM3jJfT/Flutter-mobile-app?node-id=1-3&amp;starting-point-node-id=1%3A3&amp;t=NsZvGtre3OLMIQpY-1  https://www.figma.com/proto/4QkvwEdkyLsApZxUQzr2T2/ASP.NET-WIREFRAMES?node-id=8-20&amp;starting-point-node-id=6%3A31&amp;t=RaruzWRoQjQAslUZ-1" xr:uid="{BC418C56-14A7-4C6B-9658-22BDE4231E48}"/>
    <hyperlink ref="C5" r:id="rId9" xr:uid="{F08E4885-3FFB-4167-88B1-39A73BBD83D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workbookViewId="0">
      <selection activeCell="I7" sqref="I7"/>
    </sheetView>
  </sheetViews>
  <sheetFormatPr defaultRowHeight="14.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950000000000003" customHeight="1">
      <c r="A1" s="10" t="s">
        <v>116</v>
      </c>
      <c r="B1" s="10"/>
      <c r="C1" s="10"/>
      <c r="D1" s="10"/>
      <c r="E1" s="10"/>
      <c r="F1" s="10"/>
      <c r="G1" s="10"/>
      <c r="H1" s="10"/>
      <c r="I1" s="10"/>
    </row>
    <row r="3" spans="1:9" ht="30" customHeight="1">
      <c r="A3" s="1" t="s">
        <v>117</v>
      </c>
      <c r="B3" s="1" t="s">
        <v>118</v>
      </c>
      <c r="C3" s="1" t="s">
        <v>119</v>
      </c>
      <c r="D3" s="1" t="s">
        <v>120</v>
      </c>
      <c r="E3" s="1" t="s">
        <v>112</v>
      </c>
      <c r="F3" s="1" t="s">
        <v>121</v>
      </c>
      <c r="G3" s="1" t="s">
        <v>53</v>
      </c>
      <c r="H3" s="1" t="s">
        <v>122</v>
      </c>
      <c r="I3" s="1" t="s">
        <v>114</v>
      </c>
    </row>
    <row r="4" spans="1:9" ht="42.75">
      <c r="A4" s="20">
        <v>46290</v>
      </c>
      <c r="B4" s="5" t="s">
        <v>194</v>
      </c>
      <c r="C4" s="5" t="s">
        <v>198</v>
      </c>
      <c r="D4" s="5" t="s">
        <v>195</v>
      </c>
      <c r="E4" s="5" t="s">
        <v>196</v>
      </c>
      <c r="F4" s="20">
        <v>46306</v>
      </c>
      <c r="G4" s="5" t="s">
        <v>34</v>
      </c>
      <c r="H4" s="20">
        <v>46305</v>
      </c>
      <c r="I4" s="5" t="s">
        <v>197</v>
      </c>
    </row>
    <row r="5" spans="1:9" ht="28.5">
      <c r="A5" s="20">
        <v>46304</v>
      </c>
      <c r="B5" s="5" t="s">
        <v>199</v>
      </c>
      <c r="C5" s="5" t="s">
        <v>200</v>
      </c>
      <c r="D5" s="5" t="s">
        <v>201</v>
      </c>
      <c r="E5" s="5" t="s">
        <v>169</v>
      </c>
      <c r="F5" s="20">
        <v>46306</v>
      </c>
      <c r="G5" s="5" t="s">
        <v>34</v>
      </c>
      <c r="H5" s="20">
        <v>46306</v>
      </c>
      <c r="I5" s="5" t="s">
        <v>205</v>
      </c>
    </row>
    <row r="6" spans="1:9" ht="28.5">
      <c r="A6" s="20">
        <v>46300</v>
      </c>
      <c r="B6" s="5" t="s">
        <v>202</v>
      </c>
      <c r="C6" s="5" t="s">
        <v>200</v>
      </c>
      <c r="D6" s="5" t="s">
        <v>203</v>
      </c>
      <c r="E6" s="5" t="s">
        <v>209</v>
      </c>
      <c r="F6" s="20">
        <v>46300</v>
      </c>
      <c r="G6" s="5" t="s">
        <v>34</v>
      </c>
      <c r="H6" s="20">
        <v>46300</v>
      </c>
      <c r="I6" s="5" t="s">
        <v>204</v>
      </c>
    </row>
    <row r="7" spans="1:9" ht="42.75">
      <c r="A7" s="20">
        <v>46296</v>
      </c>
      <c r="B7" s="5" t="s">
        <v>207</v>
      </c>
      <c r="C7" s="5" t="s">
        <v>210</v>
      </c>
      <c r="D7" s="5" t="s">
        <v>206</v>
      </c>
      <c r="E7" s="5" t="s">
        <v>208</v>
      </c>
      <c r="F7" s="20">
        <v>46307</v>
      </c>
      <c r="G7" s="5" t="s">
        <v>34</v>
      </c>
      <c r="H7" s="20">
        <v>46307</v>
      </c>
      <c r="I7" s="5" t="s">
        <v>211</v>
      </c>
    </row>
    <row r="8" spans="1:9">
      <c r="A8" s="5"/>
      <c r="B8" s="5"/>
      <c r="C8" s="5"/>
      <c r="D8" s="5"/>
      <c r="E8" s="5"/>
      <c r="F8" s="5"/>
      <c r="G8" s="5" t="s">
        <v>43</v>
      </c>
      <c r="H8" s="5"/>
      <c r="I8" s="5"/>
    </row>
    <row r="9" spans="1:9">
      <c r="A9" s="5"/>
      <c r="B9" s="5"/>
      <c r="C9" s="5"/>
      <c r="D9" s="5"/>
      <c r="E9" s="5"/>
      <c r="F9" s="5"/>
      <c r="G9" s="5" t="s">
        <v>43</v>
      </c>
      <c r="H9" s="5"/>
      <c r="I9" s="5"/>
    </row>
    <row r="10" spans="1:9">
      <c r="A10" s="5"/>
      <c r="B10" s="5"/>
      <c r="C10" s="5"/>
      <c r="D10" s="5"/>
      <c r="E10" s="5"/>
      <c r="F10" s="5"/>
      <c r="G10" s="5" t="s">
        <v>43</v>
      </c>
      <c r="H10" s="5"/>
      <c r="I10" s="5"/>
    </row>
    <row r="11" spans="1:9">
      <c r="A11" s="5"/>
      <c r="B11" s="5"/>
      <c r="C11" s="5"/>
      <c r="D11" s="5"/>
      <c r="E11" s="5"/>
      <c r="F11" s="5"/>
      <c r="G11" s="5" t="s">
        <v>43</v>
      </c>
      <c r="H11" s="5"/>
      <c r="I11" s="5"/>
    </row>
    <row r="12" spans="1:9">
      <c r="A12" s="5"/>
      <c r="B12" s="5"/>
      <c r="C12" s="5"/>
      <c r="D12" s="5"/>
      <c r="E12" s="5"/>
      <c r="F12" s="5"/>
      <c r="G12" s="5" t="s">
        <v>43</v>
      </c>
      <c r="H12" s="5"/>
      <c r="I12" s="5"/>
    </row>
    <row r="13" spans="1:9">
      <c r="A13" s="5"/>
      <c r="B13" s="5"/>
      <c r="C13" s="5"/>
      <c r="D13" s="5"/>
      <c r="E13" s="5"/>
      <c r="F13" s="5"/>
      <c r="G13" s="5" t="s">
        <v>43</v>
      </c>
      <c r="H13" s="5"/>
      <c r="I13" s="5"/>
    </row>
    <row r="14" spans="1:9">
      <c r="A14" s="5"/>
      <c r="B14" s="5"/>
      <c r="C14" s="5"/>
      <c r="D14" s="5"/>
      <c r="E14" s="5"/>
      <c r="F14" s="5"/>
      <c r="G14" s="5" t="s">
        <v>43</v>
      </c>
      <c r="H14" s="5"/>
      <c r="I14" s="5"/>
    </row>
    <row r="15" spans="1:9">
      <c r="A15" s="5"/>
      <c r="B15" s="5"/>
      <c r="C15" s="5"/>
      <c r="D15" s="5"/>
      <c r="E15" s="5"/>
      <c r="F15" s="5"/>
      <c r="G15" s="5" t="s">
        <v>43</v>
      </c>
      <c r="H15" s="5"/>
      <c r="I15" s="5"/>
    </row>
    <row r="16" spans="1:9">
      <c r="A16" s="5"/>
      <c r="B16" s="5"/>
      <c r="C16" s="5"/>
      <c r="D16" s="5"/>
      <c r="E16" s="5"/>
      <c r="F16" s="5"/>
      <c r="G16" s="5" t="s">
        <v>43</v>
      </c>
      <c r="H16" s="5"/>
      <c r="I16" s="5"/>
    </row>
    <row r="17" spans="1:9">
      <c r="A17" s="5"/>
      <c r="B17" s="5"/>
      <c r="C17" s="5"/>
      <c r="D17" s="5"/>
      <c r="E17" s="5"/>
      <c r="F17" s="5"/>
      <c r="G17" s="5" t="s">
        <v>43</v>
      </c>
      <c r="H17" s="5"/>
      <c r="I17" s="5"/>
    </row>
    <row r="18" spans="1:9">
      <c r="A18" s="5"/>
      <c r="B18" s="5"/>
      <c r="C18" s="5"/>
      <c r="D18" s="5"/>
      <c r="E18" s="5"/>
      <c r="F18" s="5"/>
      <c r="G18" s="5" t="s">
        <v>43</v>
      </c>
      <c r="H18" s="5"/>
      <c r="I18" s="5"/>
    </row>
    <row r="19" spans="1:9">
      <c r="A19" s="5"/>
      <c r="B19" s="5"/>
      <c r="C19" s="5"/>
      <c r="D19" s="5"/>
      <c r="E19" s="5"/>
      <c r="F19" s="5"/>
      <c r="G19" s="5" t="s">
        <v>43</v>
      </c>
      <c r="H19" s="5"/>
      <c r="I19" s="5"/>
    </row>
    <row r="20" spans="1:9">
      <c r="A20" s="5"/>
      <c r="B20" s="5"/>
      <c r="C20" s="5"/>
      <c r="D20" s="5"/>
      <c r="E20" s="5"/>
      <c r="F20" s="5"/>
      <c r="G20" s="5" t="s">
        <v>43</v>
      </c>
      <c r="H20" s="5"/>
      <c r="I20" s="5"/>
    </row>
    <row r="21" spans="1:9">
      <c r="A21" s="5"/>
      <c r="B21" s="5"/>
      <c r="C21" s="5"/>
      <c r="D21" s="5"/>
      <c r="E21" s="5"/>
      <c r="F21" s="5"/>
      <c r="G21" s="5" t="s">
        <v>43</v>
      </c>
      <c r="H21" s="5"/>
      <c r="I21" s="5"/>
    </row>
    <row r="22" spans="1:9">
      <c r="A22" s="5"/>
      <c r="B22" s="5"/>
      <c r="C22" s="5"/>
      <c r="D22" s="5"/>
      <c r="E22" s="5"/>
      <c r="F22" s="5"/>
      <c r="G22" s="5" t="s">
        <v>43</v>
      </c>
      <c r="H22" s="5"/>
      <c r="I22" s="5"/>
    </row>
    <row r="23" spans="1:9">
      <c r="A23" s="5"/>
      <c r="B23" s="5"/>
      <c r="C23" s="5"/>
      <c r="D23" s="5"/>
      <c r="E23" s="5"/>
      <c r="F23" s="5"/>
      <c r="G23" s="5" t="s">
        <v>43</v>
      </c>
      <c r="H23" s="5"/>
      <c r="I23" s="5"/>
    </row>
    <row r="24" spans="1:9">
      <c r="A24" s="5"/>
      <c r="B24" s="5"/>
      <c r="C24" s="5"/>
      <c r="D24" s="5"/>
      <c r="E24" s="5"/>
      <c r="F24" s="5"/>
      <c r="G24" s="5" t="s">
        <v>43</v>
      </c>
      <c r="H24" s="5"/>
      <c r="I24" s="5"/>
    </row>
    <row r="25" spans="1:9">
      <c r="A25" s="5"/>
      <c r="B25" s="5"/>
      <c r="C25" s="5"/>
      <c r="D25" s="5"/>
      <c r="E25" s="5"/>
      <c r="F25" s="5"/>
      <c r="G25" s="5" t="s">
        <v>43</v>
      </c>
      <c r="H25" s="5"/>
      <c r="I25" s="5"/>
    </row>
    <row r="26" spans="1:9">
      <c r="A26" s="5"/>
      <c r="B26" s="5"/>
      <c r="C26" s="5"/>
      <c r="D26" s="5"/>
      <c r="E26" s="5"/>
      <c r="F26" s="5"/>
      <c r="G26" s="5" t="s">
        <v>43</v>
      </c>
      <c r="H26" s="5"/>
      <c r="I26" s="5"/>
    </row>
    <row r="27" spans="1:9">
      <c r="A27" s="5"/>
      <c r="B27" s="5"/>
      <c r="C27" s="5"/>
      <c r="D27" s="5"/>
      <c r="E27" s="5"/>
      <c r="F27" s="5"/>
      <c r="G27" s="5" t="s">
        <v>43</v>
      </c>
      <c r="H27" s="5"/>
      <c r="I27" s="5"/>
    </row>
    <row r="28" spans="1:9">
      <c r="A28" s="5"/>
      <c r="B28" s="5"/>
      <c r="C28" s="5"/>
      <c r="D28" s="5"/>
      <c r="E28" s="5"/>
      <c r="F28" s="5"/>
      <c r="G28" s="5" t="s">
        <v>43</v>
      </c>
      <c r="H28" s="5"/>
      <c r="I28" s="5"/>
    </row>
    <row r="29" spans="1:9">
      <c r="A29" s="5"/>
      <c r="B29" s="5"/>
      <c r="C29" s="5"/>
      <c r="D29" s="5"/>
      <c r="E29" s="5"/>
      <c r="F29" s="5"/>
      <c r="G29" s="5" t="s">
        <v>43</v>
      </c>
      <c r="H29" s="5"/>
      <c r="I29" s="5"/>
    </row>
    <row r="30" spans="1:9">
      <c r="A30" s="5"/>
      <c r="B30" s="5"/>
      <c r="C30" s="5"/>
      <c r="D30" s="5"/>
      <c r="E30" s="5"/>
      <c r="F30" s="5"/>
      <c r="G30" s="5" t="s">
        <v>43</v>
      </c>
      <c r="H30" s="5"/>
      <c r="I30" s="5"/>
    </row>
    <row r="31" spans="1:9">
      <c r="A31" s="5"/>
      <c r="B31" s="5"/>
      <c r="C31" s="5"/>
      <c r="D31" s="5"/>
      <c r="E31" s="5"/>
      <c r="F31" s="5"/>
      <c r="G31" s="5" t="s">
        <v>43</v>
      </c>
      <c r="H31" s="5"/>
      <c r="I31" s="5"/>
    </row>
    <row r="32" spans="1:9">
      <c r="A32" s="5"/>
      <c r="B32" s="5"/>
      <c r="C32" s="5"/>
      <c r="D32" s="5"/>
      <c r="E32" s="5"/>
      <c r="F32" s="5"/>
      <c r="G32" s="5" t="s">
        <v>43</v>
      </c>
      <c r="H32" s="5"/>
      <c r="I32" s="5"/>
    </row>
    <row r="33" spans="1:9">
      <c r="A33" s="5"/>
      <c r="B33" s="5"/>
      <c r="C33" s="5"/>
      <c r="D33" s="5"/>
      <c r="E33" s="5"/>
      <c r="F33" s="5"/>
      <c r="G33" s="5" t="s">
        <v>43</v>
      </c>
      <c r="H33" s="5"/>
      <c r="I33" s="5"/>
    </row>
  </sheetData>
  <mergeCells count="1">
    <mergeCell ref="A1:I1"/>
  </mergeCells>
  <conditionalFormatting sqref="G4:G33">
    <cfRule type="expression" dxfId="1" priority="1">
      <formula>G4="Completed"</formula>
    </cfRule>
    <cfRule type="expression" dxfId="0" priority="2">
      <formula>G4="Blocked"</formula>
    </cfRule>
  </conditionalFormatting>
  <dataValidations count="1">
    <dataValidation type="list" sqref="G4:G33" xr:uid="{00000000-0002-0000-0500-000000000000}">
      <formula1>"Not Started,In Progress,Completed,Blocked"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workbookViewId="0">
      <selection activeCell="C18" sqref="C18"/>
    </sheetView>
  </sheetViews>
  <sheetFormatPr defaultRowHeight="14.25"/>
  <cols>
    <col min="1" max="1" width="38" customWidth="1"/>
    <col min="2" max="3" width="34" customWidth="1"/>
    <col min="4" max="4" width="4" customWidth="1"/>
    <col min="5" max="5" width="38" customWidth="1"/>
    <col min="6" max="6" width="14" customWidth="1"/>
  </cols>
  <sheetData>
    <row r="1" spans="1:6" ht="33.950000000000003" customHeight="1">
      <c r="A1" s="10" t="s">
        <v>30</v>
      </c>
      <c r="B1" s="10"/>
      <c r="C1" s="10"/>
      <c r="D1" s="10"/>
      <c r="E1" s="10"/>
      <c r="F1" s="10"/>
    </row>
    <row r="3" spans="1:6" ht="30" customHeight="1">
      <c r="A3" s="4" t="s">
        <v>41</v>
      </c>
      <c r="B3" s="15" t="s">
        <v>187</v>
      </c>
      <c r="C3" s="15"/>
      <c r="E3" s="1" t="s">
        <v>123</v>
      </c>
      <c r="F3" s="1" t="s">
        <v>124</v>
      </c>
    </row>
    <row r="4" spans="1:6" ht="15">
      <c r="A4" s="4" t="s">
        <v>42</v>
      </c>
      <c r="B4" s="15" t="s">
        <v>34</v>
      </c>
      <c r="C4" s="15"/>
      <c r="E4" t="s">
        <v>125</v>
      </c>
      <c r="F4" s="5" t="s">
        <v>173</v>
      </c>
    </row>
    <row r="5" spans="1:6" ht="15">
      <c r="A5" s="4" t="s">
        <v>126</v>
      </c>
      <c r="B5" s="15" t="s">
        <v>181</v>
      </c>
      <c r="C5" s="15"/>
      <c r="E5" t="s">
        <v>127</v>
      </c>
      <c r="F5" s="5" t="s">
        <v>173</v>
      </c>
    </row>
    <row r="6" spans="1:6" ht="15">
      <c r="A6" s="4" t="s">
        <v>128</v>
      </c>
      <c r="B6" s="15" t="s">
        <v>188</v>
      </c>
      <c r="C6" s="15"/>
      <c r="E6" t="s">
        <v>129</v>
      </c>
      <c r="F6" s="5" t="s">
        <v>173</v>
      </c>
    </row>
    <row r="7" spans="1:6" ht="15">
      <c r="A7" s="4" t="s">
        <v>130</v>
      </c>
      <c r="B7" s="15" t="s">
        <v>189</v>
      </c>
      <c r="C7" s="15"/>
      <c r="E7" t="s">
        <v>131</v>
      </c>
      <c r="F7" s="5" t="s">
        <v>173</v>
      </c>
    </row>
    <row r="8" spans="1:6" ht="30">
      <c r="A8" s="4" t="s">
        <v>132</v>
      </c>
      <c r="B8" s="15" t="s">
        <v>190</v>
      </c>
      <c r="C8" s="15"/>
      <c r="E8" t="s">
        <v>133</v>
      </c>
      <c r="F8" s="5" t="s">
        <v>173</v>
      </c>
    </row>
    <row r="9" spans="1:6" ht="15">
      <c r="A9" s="4" t="s">
        <v>134</v>
      </c>
      <c r="B9" s="15" t="s">
        <v>191</v>
      </c>
      <c r="C9" s="15"/>
      <c r="E9" t="s">
        <v>135</v>
      </c>
      <c r="F9" s="5" t="s">
        <v>173</v>
      </c>
    </row>
    <row r="10" spans="1:6" ht="15">
      <c r="A10" s="4" t="s">
        <v>136</v>
      </c>
      <c r="B10" s="15" t="s">
        <v>192</v>
      </c>
      <c r="C10" s="15"/>
      <c r="E10" t="s">
        <v>137</v>
      </c>
      <c r="F10" s="5" t="s">
        <v>173</v>
      </c>
    </row>
    <row r="11" spans="1:6" ht="15">
      <c r="A11" s="4" t="s">
        <v>138</v>
      </c>
      <c r="B11" s="15" t="s">
        <v>193</v>
      </c>
      <c r="C11" s="15"/>
      <c r="E11" t="s">
        <v>139</v>
      </c>
      <c r="F11" s="5" t="s">
        <v>173</v>
      </c>
    </row>
    <row r="12" spans="1:6">
      <c r="E12" t="s">
        <v>140</v>
      </c>
      <c r="F12" s="5" t="s">
        <v>173</v>
      </c>
    </row>
    <row r="13" spans="1:6">
      <c r="E13" t="s">
        <v>141</v>
      </c>
      <c r="F13" s="5" t="s">
        <v>173</v>
      </c>
    </row>
    <row r="14" spans="1:6">
      <c r="E14" t="s">
        <v>142</v>
      </c>
      <c r="F14" s="5" t="s">
        <v>173</v>
      </c>
    </row>
    <row r="15" spans="1:6">
      <c r="E15" t="s">
        <v>143</v>
      </c>
      <c r="F15" s="5" t="s">
        <v>173</v>
      </c>
    </row>
    <row r="16" spans="1:6">
      <c r="E16" t="s">
        <v>144</v>
      </c>
      <c r="F16" s="5" t="s">
        <v>173</v>
      </c>
    </row>
  </sheetData>
  <mergeCells count="10">
    <mergeCell ref="B7:C7"/>
    <mergeCell ref="B8:C8"/>
    <mergeCell ref="B9:C9"/>
    <mergeCell ref="B10:C10"/>
    <mergeCell ref="B11:C11"/>
    <mergeCell ref="A1:F1"/>
    <mergeCell ref="B3:C3"/>
    <mergeCell ref="B4:C4"/>
    <mergeCell ref="B5:C5"/>
    <mergeCell ref="B6:C6"/>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opLeftCell="A13" workbookViewId="0">
      <selection activeCell="A8" sqref="A8:F9"/>
    </sheetView>
  </sheetViews>
  <sheetFormatPr defaultRowHeight="14.25"/>
  <cols>
    <col min="1" max="6" width="24" customWidth="1"/>
  </cols>
  <sheetData>
    <row r="1" spans="1:6" ht="33.950000000000003" customHeight="1">
      <c r="A1" s="10" t="s">
        <v>145</v>
      </c>
      <c r="B1" s="10"/>
      <c r="C1" s="10"/>
      <c r="D1" s="10"/>
      <c r="E1" s="10"/>
      <c r="F1" s="10"/>
    </row>
    <row r="3" spans="1:6" ht="27.95" customHeight="1">
      <c r="A3" s="16" t="s">
        <v>146</v>
      </c>
      <c r="B3" s="16"/>
      <c r="C3" s="16"/>
      <c r="D3" s="16"/>
      <c r="E3" s="16"/>
      <c r="F3" s="16"/>
    </row>
    <row r="4" spans="1:6" ht="38.1" customHeight="1">
      <c r="A4" s="17" t="s">
        <v>181</v>
      </c>
      <c r="B4" s="17"/>
      <c r="C4" s="17"/>
      <c r="D4" s="17"/>
      <c r="E4" s="17"/>
      <c r="F4" s="17"/>
    </row>
    <row r="5" spans="1:6" ht="38.1" customHeight="1">
      <c r="A5" s="17"/>
      <c r="B5" s="17"/>
      <c r="C5" s="17"/>
      <c r="D5" s="17"/>
      <c r="E5" s="17"/>
      <c r="F5" s="17"/>
    </row>
    <row r="6" spans="1:6" ht="30" customHeight="1">
      <c r="A6" s="9"/>
      <c r="B6" s="9"/>
      <c r="C6" s="9"/>
      <c r="D6" s="9"/>
      <c r="E6" s="9"/>
      <c r="F6" s="9"/>
    </row>
    <row r="7" spans="1:6" ht="27.95" customHeight="1">
      <c r="A7" s="18" t="s">
        <v>147</v>
      </c>
      <c r="B7" s="18"/>
      <c r="C7" s="18"/>
      <c r="D7" s="18"/>
      <c r="E7" s="18"/>
      <c r="F7" s="18"/>
    </row>
    <row r="8" spans="1:6" ht="38.1" customHeight="1">
      <c r="A8" s="17" t="s">
        <v>182</v>
      </c>
      <c r="B8" s="17"/>
      <c r="C8" s="17"/>
      <c r="D8" s="17"/>
      <c r="E8" s="17"/>
      <c r="F8" s="17"/>
    </row>
    <row r="9" spans="1:6" ht="38.1" customHeight="1">
      <c r="A9" s="15"/>
      <c r="B9" s="15"/>
      <c r="C9" s="15"/>
      <c r="D9" s="15"/>
      <c r="E9" s="15"/>
      <c r="F9" s="15"/>
    </row>
    <row r="10" spans="1:6" ht="42" customHeight="1">
      <c r="A10" s="5"/>
      <c r="B10" s="5"/>
      <c r="C10" s="5"/>
      <c r="D10" s="5"/>
      <c r="E10" s="5"/>
      <c r="F10" s="5"/>
    </row>
    <row r="11" spans="1:6" ht="27.95" customHeight="1">
      <c r="A11" s="16" t="s">
        <v>148</v>
      </c>
      <c r="B11" s="16"/>
      <c r="C11" s="16"/>
      <c r="D11" s="16"/>
      <c r="E11" s="16"/>
      <c r="F11" s="16"/>
    </row>
    <row r="12" spans="1:6" ht="38.1" customHeight="1">
      <c r="A12" s="17" t="s">
        <v>183</v>
      </c>
      <c r="B12" s="15"/>
      <c r="C12" s="15"/>
      <c r="D12" s="15"/>
      <c r="E12" s="15"/>
      <c r="F12" s="15"/>
    </row>
    <row r="13" spans="1:6" ht="37.5" customHeight="1">
      <c r="A13" s="15"/>
      <c r="B13" s="15"/>
      <c r="C13" s="15"/>
      <c r="D13" s="15"/>
      <c r="E13" s="15"/>
      <c r="F13" s="15"/>
    </row>
    <row r="15" spans="1:6" ht="27.95" customHeight="1">
      <c r="A15" s="16" t="s">
        <v>149</v>
      </c>
      <c r="B15" s="16"/>
      <c r="C15" s="16"/>
      <c r="D15" s="16"/>
      <c r="E15" s="16"/>
      <c r="F15" s="16"/>
    </row>
    <row r="16" spans="1:6" ht="38.1" customHeight="1">
      <c r="A16" s="17" t="s">
        <v>184</v>
      </c>
      <c r="B16" s="17"/>
      <c r="C16" s="17"/>
      <c r="D16" s="17"/>
      <c r="E16" s="17"/>
      <c r="F16" s="17"/>
    </row>
    <row r="17" spans="1:6" ht="38.1" customHeight="1">
      <c r="A17" s="17"/>
      <c r="B17" s="17"/>
      <c r="C17" s="17"/>
      <c r="D17" s="17"/>
      <c r="E17" s="17"/>
      <c r="F17" s="17"/>
    </row>
    <row r="19" spans="1:6" ht="27.95" customHeight="1">
      <c r="A19" s="16" t="s">
        <v>150</v>
      </c>
      <c r="B19" s="16"/>
      <c r="C19" s="16"/>
      <c r="D19" s="16"/>
      <c r="E19" s="16"/>
      <c r="F19" s="16"/>
    </row>
    <row r="20" spans="1:6" ht="38.1" customHeight="1">
      <c r="A20" s="17" t="s">
        <v>185</v>
      </c>
      <c r="B20" s="15"/>
      <c r="C20" s="15"/>
      <c r="D20" s="15"/>
      <c r="E20" s="15"/>
      <c r="F20" s="15"/>
    </row>
    <row r="21" spans="1:6" ht="38.1" customHeight="1">
      <c r="A21" s="15"/>
      <c r="B21" s="15"/>
      <c r="C21" s="15"/>
      <c r="D21" s="15"/>
      <c r="E21" s="15"/>
      <c r="F21" s="15"/>
    </row>
    <row r="23" spans="1:6" ht="27.95" customHeight="1">
      <c r="A23" s="16" t="s">
        <v>151</v>
      </c>
      <c r="B23" s="16"/>
      <c r="C23" s="16"/>
      <c r="D23" s="16"/>
      <c r="E23" s="16"/>
      <c r="F23" s="16"/>
    </row>
    <row r="24" spans="1:6" ht="38.1" customHeight="1">
      <c r="A24" s="17" t="s">
        <v>186</v>
      </c>
      <c r="B24" s="15"/>
      <c r="C24" s="15"/>
      <c r="D24" s="15"/>
      <c r="E24" s="15"/>
      <c r="F24" s="15"/>
    </row>
    <row r="25" spans="1:6" ht="38.1" customHeight="1">
      <c r="A25" s="15"/>
      <c r="B25" s="15"/>
      <c r="C25" s="15"/>
      <c r="D25" s="15"/>
      <c r="E25" s="15"/>
      <c r="F25" s="15"/>
    </row>
  </sheetData>
  <mergeCells count="13">
    <mergeCell ref="A20:F21"/>
    <mergeCell ref="A23:F23"/>
    <mergeCell ref="A24:F25"/>
    <mergeCell ref="A11:F11"/>
    <mergeCell ref="A12:F13"/>
    <mergeCell ref="A15:F15"/>
    <mergeCell ref="A16:F17"/>
    <mergeCell ref="A19:F19"/>
    <mergeCell ref="A1:F1"/>
    <mergeCell ref="A3:F3"/>
    <mergeCell ref="A4:F5"/>
    <mergeCell ref="A7:F7"/>
    <mergeCell ref="A8:F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l224</cp:lastModifiedBy>
  <dcterms:modified xsi:type="dcterms:W3CDTF">2026-10-12T14:03:53Z</dcterms:modified>
</cp:coreProperties>
</file>